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5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<sst xmlns="http://schemas.openxmlformats.org/spreadsheetml/2006/main" count="2081" uniqueCount="528">
  <si>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</si>
  <si>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</si>
  <si>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</si>
  <si>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</si>
  <si>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</si>
  <si>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</si>
  <si>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</si>
  <si>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</si>
  <si>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</si>
  <si>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</si>
  <si>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</si>
  <si>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</si>
  <si>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</si>
  <si>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</si>
  <si>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</si>
  <si>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</si>
  <si>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</si>
  <si>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</si>
  <si>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</si>
  <si>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</si>
  <si>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</si>
  <si>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</si>
  <si>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</si>
  <si>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</si>
  <si>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</si>
  <si>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</si>
  <si>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</si>
  <si>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</si>
  <si>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</si>
  <si>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</si>
  <si>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</si>
  <si>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</si>
  <si>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</si>
  <si>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</si>
  <si>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</si>
  <si>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</si>
  <si>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</si>
  <si>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</si>
  <si>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</si>
  <si>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</si>
  <si>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</si>
  <si>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</si>
  <si>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</si>
  <si>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</si>
  <si>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</si>
  <si>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</si>
  <si>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</si>
  <si>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</si>
  <si>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</si>
  <si>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</si>
  <si>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</si>
  <si>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</si>
  <si>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</si>
  <si>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</si>
  <si>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</si>
  <si>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</si>
  <si>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</si>
  <si>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</si>
  <si>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</si>
  <si>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</si>
  <si>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</si>
  <si>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</si>
  <si>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</si>
  <si>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</si>
  <si>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</si>
  <si>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</si>
  <si>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</si>
  <si>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</si>
  <si>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</si>
  <si>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</si>
  <si>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</si>
  <si>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</si>
  <si>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</si>
  <si>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</si>
  <si>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</si>
  <si>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</si>
  <si>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</si>
  <si>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</si>
  <si>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</si>
  <si>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</si>
  <si>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</si>
  <si>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</si>
  <si>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</si>
  <si>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</si>
  <si>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</si>
  <si>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</si>
  <si>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</si>
  <si>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</si>
  <si>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</si>
  <si>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</si>
  <si>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</si>
  <si>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</si>
  <si>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</si>
  <si>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</si>
  <si>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</si>
  <si>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</si>
  <si>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</si>
  <si>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</si>
  <si>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</si>
  <si>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</si>
  <si>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</si>
  <si>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</si>
  <si>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</si>
  <si>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</si>
  <si>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</si>
  <si>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</si>
  <si>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</si>
  <si>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</si>
  <si>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</si>
  <si>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</si>
  <si>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</si>
  <si>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</si>
  <si>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</si>
  <si>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</si>
  <si>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</si>
  <si>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</si>
  <si>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</si>
  <si>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</si>
  <si>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</si>
  <si>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</si>
  <si>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</si>
  <si>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</si>
  <si>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</si>
  <si>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</si>
  <si>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</si>
  <si>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</si>
  <si>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</si>
  <si>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</si>
  <si>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</si>
  <si>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</si>
  <si>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</si>
  <si>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</si>
  <si>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</si>
  <si>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</si>
  <si>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</si>
  <si>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</si>
  <si>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</si>
  <si>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</si>
  <si>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</si>
  <si>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</si>
  <si>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</si>
  <si>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</si>
  <si>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</si>
  <si>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</si>
  <si>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</si>
  <si>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</si>
  <si>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</si>
  <si>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</si>
  <si>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</si>
  <si>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</si>
  <si>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</si>
  <si>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</si>
  <si>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</si>
  <si>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</si>
  <si>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</si>
  <si>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</si>
  <si>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</si>
  <si>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</si>
  <si>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</si>
  <si>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</si>
  <si>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</si>
  <si>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</si>
  <si>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</si>
  <si>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</si>
  <si>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</si>
  <si>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</si>
  <si>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</si>
  <si>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</si>
  <si>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</si>
  <si>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</si>
  <si>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</si>
  <si>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</si>
  <si>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</si>
  <si>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</si>
  <si>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</si>
  <si>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</si>
  <si>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</si>
  <si>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</si>
  <si>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</si>
  <si>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</si>
  <si>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</si>
  <si>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</si>
  <si>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</si>
  <si>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</si>
  <si>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</si>
  <si>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</si>
  <si>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</si>
  <si>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</si>
  <si>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</si>
  <si>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</si>
  <si>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</si>
  <si>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</si>
  <si>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</si>
  <si>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</si>
  <si>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</si>
  <si>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</si>
  <si>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</si>
  <si>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</si>
  <si>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</si>
  <si>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</si>
  <si>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</si>
  <si>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</si>
  <si>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</si>
  <si>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</si>
  <si>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</si>
  <si>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</si>
  <si>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</si>
  <si>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</si>
  <si>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</si>
  <si>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</si>
  <si>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</si>
  <si>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</si>
  <si>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</si>
  <si>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</si>
  <si>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</si>
  <si>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</si>
  <si>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</si>
  <si>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</si>
  <si>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</si>
  <si>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</si>
  <si>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</si>
  <si>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</si>
  <si>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</si>
  <si>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</si>
  <si>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</si>
  <si>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</si>
  <si>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</si>
  <si>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</si>
  <si>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</si>
  <si>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</si>
  <si>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</si>
  <si>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</si>
  <si>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</si>
  <si>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</si>
  <si>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</si>
  <si>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</si>
  <si>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</si>
  <si>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</si>
  <si>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</si>
  <si>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</si>
  <si>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</si>
  <si>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</si>
  <si>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</si>
  <si>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</si>
  <si>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</si>
  <si>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</si>
  <si>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</si>
  <si>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</si>
  <si>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</si>
  <si>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</si>
  <si>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</si>
  <si>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</si>
  <si>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</si>
  <si>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</si>
  <si>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</si>
  <si>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</si>
  <si>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</si>
  <si>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</si>
  <si>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</si>
  <si>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</si>
  <si>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</si>
  <si>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</si>
  <si>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</si>
  <si>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</si>
  <si>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</si>
  <si>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</si>
  <si>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</si>
  <si>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</si>
  <si>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</si>
  <si>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</si>
  <si>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</si>
  <si>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</si>
  <si>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</si>
  <si>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</si>
  <si>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</si>
  <si>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</si>
  <si>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</si>
  <si>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</si>
  <si>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</si>
  <si>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</si>
  <si>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</si>
  <si>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</si>
  <si>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</si>
  <si>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</si>
  <si>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</si>
  <si>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</si>
  <si>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</si>
  <si>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</si>
  <si>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</si>
  <si>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</si>
  <si>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</si>
  <si>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</si>
  <si>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</si>
  <si>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</si>
  <si>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</si>
  <si>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</si>
  <si>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</si>
  <si>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</si>
  <si>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</si>
  <si>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</si>
  <si>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</si>
  <si>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</si>
  <si>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</si>
  <si>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</si>
  <si>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</si>
  <si>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</si>
  <si>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</si>
  <si>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</si>
  <si>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</si>
  <si>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</si>
  <si>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</si>
  <si>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</si>
  <si>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</si>
  <si>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</si>
  <si>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</si>
  <si>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</si>
  <si>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</si>
  <si>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</si>
  <si>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</si>
  <si>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</si>
  <si>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</si>
  <si>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</si>
  <si>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</si>
  <si>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</si>
  <si>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</si>
  <si>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</si>
  <si>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</si>
  <si>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</si>
  <si>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</si>
  <si>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</si>
  <si>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</si>
  <si>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</si>
  <si>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</si>
  <si>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</si>
  <si>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</si>
  <si>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</si>
  <si>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</si>
  <si>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</si>
  <si>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</si>
  <si>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</si>
  <si>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</si>
  <si>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</si>
  <si>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</si>
  <si>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</si>
  <si>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</si>
  <si>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</si>
  <si>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</si>
  <si>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</si>
  <si>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</si>
  <si>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</si>
  <si>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</si>
  <si>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</si>
  <si>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</si>
  <si>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</si>
  <si>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</si>
  <si>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</si>
  <si>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</si>
  <si>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</si>
  <si>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</si>
  <si>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</si>
  <si>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</si>
  <si>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</si>
  <si>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</si>
  <si>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</si>
  <si>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</si>
  <si>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24.03.26</t>
  </si>
  <si>
    <t>DBD Орудия Мучения</t>
  </si>
  <si>
    <t>DBD Выкованная в тумане</t>
  </si>
  <si>
    <t>DBD Resident Evil: PROJECT W</t>
  </si>
  <si>
    <t>22.03.26</t>
  </si>
  <si>
    <t>Анталья Аланья</t>
  </si>
  <si>
    <t>25.03.26</t>
  </si>
  <si>
    <t>Анталья Ликийские гробницы</t>
  </si>
  <si>
    <t>DBD Корни ужаса</t>
  </si>
  <si>
    <t>DBD Восход Садако</t>
  </si>
  <si>
    <t>DBD Resident Evil</t>
  </si>
  <si>
    <t>DBD Узы родства</t>
  </si>
  <si>
    <t>DBD Спуск в преисподнюю</t>
  </si>
  <si>
    <t>DBD Сайлент Хилл</t>
  </si>
  <si>
    <t>DBD Цепи ненависти</t>
  </si>
  <si>
    <t>DBD Проклятое наследие</t>
  </si>
  <si>
    <t>DBD Конец верных</t>
  </si>
  <si>
    <t>DBD Тьма среди нас</t>
  </si>
  <si>
    <t>DBD Расколотая родословная</t>
  </si>
  <si>
    <t>DBD Занавес</t>
  </si>
  <si>
    <t>DBD Увидел</t>
  </si>
  <si>
    <t>DBD Кошмар на улице Вязов</t>
  </si>
  <si>
    <t>DBD Кожаное лицо</t>
  </si>
  <si>
    <t>DBD О плоти и грязи</t>
  </si>
  <si>
    <t>DBD Колыбельная для тьмы</t>
  </si>
  <si>
    <t>DBD Последний вздох</t>
  </si>
  <si>
    <t>DBD Деревенщина</t>
  </si>
  <si>
    <t>DBD Призрак</t>
  </si>
  <si>
    <t>DBD Охотник</t>
  </si>
  <si>
    <t>Анталья минарет Йивли</t>
  </si>
  <si>
    <t>Анталья</t>
  </si>
  <si>
    <t>Анталья башня с часами</t>
  </si>
  <si>
    <t>DontSt</t>
  </si>
  <si>
    <t>26.03.26</t>
  </si>
  <si>
    <t>Обложка_Уилсон</t>
  </si>
  <si>
    <t>Обложка_Уилсон_2</t>
  </si>
  <si>
    <t>Обложка_Уилсон_3</t>
  </si>
  <si>
    <t>Обложка_Уилсон_4</t>
  </si>
  <si>
    <t>Обложка_Уилсон_5</t>
  </si>
  <si>
    <t>Обложка_Уилсон_6</t>
  </si>
  <si>
    <t>Обложка_Уилсон_7</t>
  </si>
  <si>
    <t>Обложка_Максвелл</t>
  </si>
  <si>
    <t>Обложка_Verdant</t>
  </si>
  <si>
    <t>Обложка_Персонажи_1</t>
  </si>
  <si>
    <t>Обложка_Персонажи_2</t>
  </si>
  <si>
    <t>27.03.26</t>
  </si>
  <si>
    <t>Анталья горы</t>
  </si>
  <si>
    <t>Анталья канатная дорога</t>
  </si>
  <si>
    <t>Анталья амфитеатр Сиде</t>
  </si>
  <si>
    <t>Анталья Дом-музей Ататюрка</t>
  </si>
  <si>
    <t>Анталья Археологический музей</t>
  </si>
  <si>
    <t>Dont_Starve_Уилсон</t>
  </si>
  <si>
    <t>Dont_Starve_Венди</t>
  </si>
  <si>
    <t>Dont_Starve_Венди_2</t>
  </si>
  <si>
    <t>Dont_Starve_ Уиллоу</t>
  </si>
  <si>
    <t>Dont_Starve_ Уиллоу_2</t>
  </si>
  <si>
    <t>Dont_Starve_ Уиллоу_3</t>
  </si>
  <si>
    <t>Dont_Starve_Вуди</t>
  </si>
  <si>
    <t>Dont_Starve_Персонажи</t>
  </si>
  <si>
    <t>Dont_Starve_Персонажи_2</t>
  </si>
  <si>
    <t>Dont_Starve_Циклоп-олень</t>
  </si>
  <si>
    <t>ICARUS</t>
  </si>
  <si>
    <t>28.03.26</t>
  </si>
  <si>
    <t>ICARUS_Обложка_1</t>
  </si>
  <si>
    <t>ICARUS_Обложка_2</t>
  </si>
  <si>
    <t>ICARUS_Обложка_3</t>
  </si>
  <si>
    <t>ICARUS_Обложка_4</t>
  </si>
  <si>
    <t>ICARUS_Обложка_5</t>
  </si>
  <si>
    <t>ICARUS_Обложка_6</t>
  </si>
  <si>
    <t>ICARUS_Обложка_7</t>
  </si>
  <si>
    <t>ICARUS_Обложка_8</t>
  </si>
  <si>
    <t>ICARUS_Обложка_9</t>
  </si>
  <si>
    <t>ICARUS_Обложка_10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</si>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</sst>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 wrapText="1"/>
    </xf>
    <xf numFmtId="0" fontId="3" fillId="0" borderId="1" xfId="0" applyFont="1" applyBorder="1" applyAlignment="1">
      <alignment horizontal="left" wrapText="1"/>
    </xf>
    <xf numFmtId="49" fontId="0" fillId="0" borderId="0" xfId="0" applyNumberFormat="1" applyFont="1" applyAlignment="1">
      <alignment horizontal="left"/>
    </xf>
    <xf numFmtId="0" fontId="5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3" borderId="0" xfId="0" applyFont="1" applyFill="1" applyAlignment="1">
      <alignment horizontal="left" wrapText="1"/>
    </xf>
    <xf numFmtId="0" fontId="0" fillId="0" borderId="0" xfId="0" applyFill="1" applyAlignment="1">
      <alignment horizontal="left" wrapText="1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left"/>
    </xf>
    <xf numFmtId="49" fontId="0" fillId="0" borderId="0" xfId="0" applyNumberFormat="1" applyFill="1" applyAlignment="1">
      <alignment horizontal="left"/>
    </xf>
    <xf numFmtId="0" fontId="0" fillId="0" borderId="0" xfId="0" applyFill="1" applyAlignment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55"/>
  <sheetViews>
    <sheetView tabSelected="1" topLeftCell="A335" workbookViewId="0">
      <selection activeCell="L355" sqref="L355"/>
    </sheetView>
  </sheetViews>
  <sheetFormatPr defaultColWidth="10" defaultRowHeight="14.4"/>
  <cols>
    <col min="1" max="1" width="8.8859649122807" style="5" customWidth="1"/>
    <col min="2" max="2" width="3.66666666666667" style="6" customWidth="1"/>
    <col min="3" max="3" width="15.3333333333333" style="6" customWidth="1"/>
    <col min="4" max="4" width="11.4385964912281" style="7" customWidth="1"/>
    <col min="5" max="5" width="15.5526315789474" style="6" customWidth="1"/>
    <col min="6" max="6" width="11.3333333333333" style="6" customWidth="1"/>
    <col min="7" max="7" width="9.8859649122807" style="8" customWidth="1"/>
    <col min="8" max="8" width="28.1052631578947" style="6" customWidth="1"/>
    <col min="9" max="9" width="7.55263157894737" style="6" customWidth="1"/>
    <col min="10" max="10" width="29.6666666666667" style="6" customWidth="1"/>
    <col min="11" max="11" width="10" style="6"/>
    <col min="12" max="12" width="66.8859649122807" style="6" customWidth="1"/>
    <col min="13" max="15" width="10" style="6"/>
    <col min="16" max="16" width="8.8859649122807" style="6" customWidth="1"/>
    <col min="17" max="16384" width="10" style="6"/>
  </cols>
  <sheetData>
    <row r="1" ht="39" customHeight="1" spans="1:12">
      <c r="A1" s="9" t="s">
        <v>0</v>
      </c>
      <c r="B1" s="10"/>
      <c r="C1" s="9" t="s">
        <v>1</v>
      </c>
      <c r="D1" s="9" t="s">
        <v>2</v>
      </c>
      <c r="E1" s="9" t="s">
        <v>3</v>
      </c>
      <c r="F1" s="9" t="s">
        <v>4</v>
      </c>
      <c r="G1" s="11" t="s">
        <v>5</v>
      </c>
      <c r="H1" s="9" t="s">
        <v>6</v>
      </c>
      <c r="I1" s="17"/>
      <c r="J1" s="17" t="s">
        <v>7</v>
      </c>
      <c r="K1" s="17"/>
      <c r="L1" s="17" t="s">
        <v>8</v>
      </c>
    </row>
    <row r="2" ht="16.35" spans="1:12">
      <c r="A2" s="12" t="s">
        <v>9</v>
      </c>
      <c r="B2" s="8"/>
      <c r="C2" s="13" t="s">
        <v>10</v>
      </c>
      <c r="D2" s="14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8"/>
      <c r="C3" s="13" t="s">
        <v>10</v>
      </c>
      <c r="D3" s="14" t="s">
        <v>11</v>
      </c>
      <c r="E3" s="8" t="s">
        <v>17</v>
      </c>
      <c r="F3" s="8" t="s">
        <v>13</v>
      </c>
      <c r="G3" s="8" t="s">
        <v>14</v>
      </c>
      <c r="H3" s="8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6.35" spans="1:12">
      <c r="A4" s="12" t="s">
        <v>18</v>
      </c>
      <c r="B4" s="8"/>
      <c r="C4" s="13" t="s">
        <v>19</v>
      </c>
      <c r="D4" s="14" t="s">
        <v>20</v>
      </c>
      <c r="E4" s="8" t="s">
        <v>21</v>
      </c>
      <c r="F4" s="8" t="s">
        <v>13</v>
      </c>
      <c r="G4" s="8" t="s">
        <v>14</v>
      </c>
      <c r="H4" s="8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6.35" spans="1:12">
      <c r="A5" s="12" t="s">
        <v>23</v>
      </c>
      <c r="B5" s="8"/>
      <c r="C5" s="13" t="s">
        <v>19</v>
      </c>
      <c r="D5" s="14" t="s">
        <v>20</v>
      </c>
      <c r="E5" s="8" t="s">
        <v>24</v>
      </c>
      <c r="F5" s="8" t="s">
        <v>13</v>
      </c>
      <c r="G5" s="8" t="s">
        <v>14</v>
      </c>
      <c r="H5" s="8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6.35" spans="1:12">
      <c r="A6" s="12" t="s">
        <v>25</v>
      </c>
      <c r="B6" s="8"/>
      <c r="C6" s="13" t="s">
        <v>19</v>
      </c>
      <c r="D6" s="14" t="s">
        <v>20</v>
      </c>
      <c r="E6" s="8" t="s">
        <v>26</v>
      </c>
      <c r="F6" s="8" t="s">
        <v>13</v>
      </c>
      <c r="G6" s="8" t="s">
        <v>14</v>
      </c>
      <c r="H6" s="8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6.35" spans="1:12">
      <c r="A7" s="12" t="s">
        <v>27</v>
      </c>
      <c r="B7" s="8"/>
      <c r="C7" s="13" t="s">
        <v>10</v>
      </c>
      <c r="D7" s="14" t="s">
        <v>11</v>
      </c>
      <c r="E7" s="8" t="s">
        <v>28</v>
      </c>
      <c r="F7" s="8" t="s">
        <v>13</v>
      </c>
      <c r="G7" s="8" t="s">
        <v>14</v>
      </c>
      <c r="H7" s="8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6.35" spans="1:12">
      <c r="A8" s="12" t="s">
        <v>29</v>
      </c>
      <c r="B8" s="8"/>
      <c r="C8" s="13" t="s">
        <v>10</v>
      </c>
      <c r="D8" s="14" t="s">
        <v>11</v>
      </c>
      <c r="E8" s="8" t="s">
        <v>30</v>
      </c>
      <c r="F8" s="8" t="s">
        <v>13</v>
      </c>
      <c r="G8" s="8" t="s">
        <v>14</v>
      </c>
      <c r="H8" s="8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6.35" spans="1:12">
      <c r="A9" s="12" t="s">
        <v>31</v>
      </c>
      <c r="B9" s="8"/>
      <c r="C9" s="13" t="s">
        <v>10</v>
      </c>
      <c r="D9" s="14" t="s">
        <v>11</v>
      </c>
      <c r="E9" s="8" t="s">
        <v>32</v>
      </c>
      <c r="F9" s="8" t="s">
        <v>13</v>
      </c>
      <c r="G9" s="8" t="s">
        <v>14</v>
      </c>
      <c r="H9" s="8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6.35" spans="1:12">
      <c r="A10" s="12" t="s">
        <v>33</v>
      </c>
      <c r="B10" s="8"/>
      <c r="C10" s="13" t="s">
        <v>19</v>
      </c>
      <c r="D10" s="14" t="s">
        <v>34</v>
      </c>
      <c r="E10" s="8" t="s">
        <v>35</v>
      </c>
      <c r="F10" s="8" t="s">
        <v>13</v>
      </c>
      <c r="G10" s="8" t="s">
        <v>14</v>
      </c>
      <c r="H10" s="8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6.35" spans="1:12">
      <c r="A11" s="12" t="s">
        <v>37</v>
      </c>
      <c r="B11" s="8"/>
      <c r="C11" s="13" t="s">
        <v>19</v>
      </c>
      <c r="D11" s="14" t="s">
        <v>34</v>
      </c>
      <c r="E11" s="8" t="s">
        <v>38</v>
      </c>
      <c r="F11" s="8" t="s">
        <v>13</v>
      </c>
      <c r="G11" s="8" t="s">
        <v>14</v>
      </c>
      <c r="H11" s="8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2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6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2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6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2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6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2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6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2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6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2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6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2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6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2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6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2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6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2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6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2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6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2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6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6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6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6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6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6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6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6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6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6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6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6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6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6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6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5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6" t="s">
        <v>102</v>
      </c>
      <c r="E39" s="6" t="s">
        <v>103</v>
      </c>
      <c r="F39" s="8" t="s">
        <v>13</v>
      </c>
      <c r="G39" s="8" t="s">
        <v>104</v>
      </c>
      <c r="H39" s="6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6" t="s">
        <v>102</v>
      </c>
      <c r="E40" s="6" t="s">
        <v>106</v>
      </c>
      <c r="F40" s="8" t="s">
        <v>13</v>
      </c>
      <c r="G40" s="8" t="s">
        <v>104</v>
      </c>
      <c r="H40" s="6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6" t="s">
        <v>102</v>
      </c>
      <c r="E41" s="6" t="s">
        <v>108</v>
      </c>
      <c r="F41" s="8" t="s">
        <v>13</v>
      </c>
      <c r="G41" s="8" t="s">
        <v>104</v>
      </c>
      <c r="H41" s="6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6" t="s">
        <v>102</v>
      </c>
      <c r="E42" s="6" t="s">
        <v>110</v>
      </c>
      <c r="F42" s="8" t="s">
        <v>13</v>
      </c>
      <c r="G42" s="8" t="s">
        <v>104</v>
      </c>
      <c r="H42" s="6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6" t="s">
        <v>102</v>
      </c>
      <c r="E43" s="6" t="s">
        <v>112</v>
      </c>
      <c r="F43" s="8" t="s">
        <v>13</v>
      </c>
      <c r="G43" s="8" t="s">
        <v>104</v>
      </c>
      <c r="H43" s="6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6" t="s">
        <v>102</v>
      </c>
      <c r="E44" s="6" t="s">
        <v>114</v>
      </c>
      <c r="F44" s="8" t="s">
        <v>13</v>
      </c>
      <c r="G44" s="8" t="s">
        <v>104</v>
      </c>
      <c r="H44" s="6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6" t="s">
        <v>102</v>
      </c>
      <c r="E45" s="6" t="s">
        <v>116</v>
      </c>
      <c r="F45" s="8" t="s">
        <v>13</v>
      </c>
      <c r="G45" s="8" t="s">
        <v>104</v>
      </c>
      <c r="H45" s="6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6" t="s">
        <v>102</v>
      </c>
      <c r="E46" s="6" t="s">
        <v>118</v>
      </c>
      <c r="F46" s="8" t="s">
        <v>13</v>
      </c>
      <c r="G46" s="8" t="s">
        <v>104</v>
      </c>
      <c r="H46" s="6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6" t="s">
        <v>102</v>
      </c>
      <c r="E47" s="6" t="s">
        <v>120</v>
      </c>
      <c r="F47" s="8" t="s">
        <v>13</v>
      </c>
      <c r="G47" s="8" t="s">
        <v>104</v>
      </c>
      <c r="H47" s="6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6" t="s">
        <v>102</v>
      </c>
      <c r="E48" s="6" t="s">
        <v>122</v>
      </c>
      <c r="F48" s="8" t="s">
        <v>13</v>
      </c>
      <c r="G48" s="8" t="s">
        <v>104</v>
      </c>
      <c r="H48" s="6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6" t="s">
        <v>102</v>
      </c>
      <c r="E49" s="6" t="s">
        <v>124</v>
      </c>
      <c r="F49" s="8" t="s">
        <v>13</v>
      </c>
      <c r="G49" s="8" t="s">
        <v>104</v>
      </c>
      <c r="H49" s="6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6" t="s">
        <v>102</v>
      </c>
      <c r="E50" s="6" t="s">
        <v>125</v>
      </c>
      <c r="F50" s="8" t="s">
        <v>13</v>
      </c>
      <c r="G50" s="8" t="s">
        <v>104</v>
      </c>
      <c r="H50" s="6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6" t="s">
        <v>102</v>
      </c>
      <c r="E51" s="6" t="s">
        <v>127</v>
      </c>
      <c r="F51" s="8" t="s">
        <v>13</v>
      </c>
      <c r="G51" s="8" t="s">
        <v>104</v>
      </c>
      <c r="H51" s="6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6" t="s">
        <v>102</v>
      </c>
      <c r="E52" s="6" t="s">
        <v>128</v>
      </c>
      <c r="F52" s="8" t="s">
        <v>13</v>
      </c>
      <c r="G52" s="8" t="s">
        <v>129</v>
      </c>
      <c r="H52" s="6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6" t="s">
        <v>102</v>
      </c>
      <c r="E53" s="6" t="s">
        <v>131</v>
      </c>
      <c r="F53" s="8" t="s">
        <v>13</v>
      </c>
      <c r="G53" s="8" t="s">
        <v>129</v>
      </c>
      <c r="H53" s="6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6" t="s">
        <v>102</v>
      </c>
      <c r="E54" s="6" t="s">
        <v>132</v>
      </c>
      <c r="F54" s="8" t="s">
        <v>13</v>
      </c>
      <c r="G54" s="8" t="s">
        <v>129</v>
      </c>
      <c r="H54" s="6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6" t="s">
        <v>102</v>
      </c>
      <c r="E55" s="6" t="s">
        <v>134</v>
      </c>
      <c r="F55" s="8" t="s">
        <v>13</v>
      </c>
      <c r="G55" s="8" t="s">
        <v>129</v>
      </c>
      <c r="H55" s="6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6" t="s">
        <v>102</v>
      </c>
      <c r="E56" s="6" t="s">
        <v>136</v>
      </c>
      <c r="F56" s="8" t="s">
        <v>13</v>
      </c>
      <c r="G56" s="8" t="s">
        <v>129</v>
      </c>
      <c r="H56" s="6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6" t="s">
        <v>102</v>
      </c>
      <c r="E57" s="6" t="s">
        <v>138</v>
      </c>
      <c r="F57" s="8" t="s">
        <v>13</v>
      </c>
      <c r="G57" s="8" t="s">
        <v>129</v>
      </c>
      <c r="H57" s="6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6" t="s">
        <v>102</v>
      </c>
      <c r="E58" s="6" t="s">
        <v>139</v>
      </c>
      <c r="F58" s="8" t="s">
        <v>13</v>
      </c>
      <c r="G58" s="8" t="s">
        <v>129</v>
      </c>
      <c r="H58" s="6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6" t="s">
        <v>102</v>
      </c>
      <c r="E59" s="6" t="s">
        <v>141</v>
      </c>
      <c r="F59" s="8" t="s">
        <v>13</v>
      </c>
      <c r="G59" s="8" t="s">
        <v>129</v>
      </c>
      <c r="H59" s="6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6" t="s">
        <v>102</v>
      </c>
      <c r="E60" s="6" t="s">
        <v>142</v>
      </c>
      <c r="F60" s="8" t="s">
        <v>13</v>
      </c>
      <c r="G60" s="8" t="s">
        <v>129</v>
      </c>
      <c r="H60" s="6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6" t="s">
        <v>102</v>
      </c>
      <c r="E61" s="6" t="s">
        <v>144</v>
      </c>
      <c r="F61" s="8" t="s">
        <v>13</v>
      </c>
      <c r="G61" s="8" t="s">
        <v>129</v>
      </c>
      <c r="H61" s="6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6" t="s">
        <v>102</v>
      </c>
      <c r="E62" s="6" t="s">
        <v>145</v>
      </c>
      <c r="F62" s="8" t="s">
        <v>13</v>
      </c>
      <c r="G62" s="8" t="s">
        <v>129</v>
      </c>
      <c r="H62" s="6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6" t="s">
        <v>102</v>
      </c>
      <c r="E63" s="6" t="s">
        <v>147</v>
      </c>
      <c r="F63" s="8" t="s">
        <v>13</v>
      </c>
      <c r="G63" s="8" t="s">
        <v>129</v>
      </c>
      <c r="H63" s="6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6" t="s">
        <v>102</v>
      </c>
      <c r="E64" s="6" t="s">
        <v>148</v>
      </c>
      <c r="F64" s="8" t="s">
        <v>13</v>
      </c>
      <c r="G64" s="8" t="s">
        <v>129</v>
      </c>
      <c r="H64" s="6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6" t="s">
        <v>102</v>
      </c>
      <c r="E65" s="6" t="s">
        <v>150</v>
      </c>
      <c r="F65" s="8" t="s">
        <v>13</v>
      </c>
      <c r="G65" s="8" t="s">
        <v>129</v>
      </c>
      <c r="H65" s="6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6" t="s">
        <v>102</v>
      </c>
      <c r="E66" s="6" t="s">
        <v>151</v>
      </c>
      <c r="F66" s="8" t="s">
        <v>13</v>
      </c>
      <c r="G66" s="8" t="s">
        <v>129</v>
      </c>
      <c r="H66" s="6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6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6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6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6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6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6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6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6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6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6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6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6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6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6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6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6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16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16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16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16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16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6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6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6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6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6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6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6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6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6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6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6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6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6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6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6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6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6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6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6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6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6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6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6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6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6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6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6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6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6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6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6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6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6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6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6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6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6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6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6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6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6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6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6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6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6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6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6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6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6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6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6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6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6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6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6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6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6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6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6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6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6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6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6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6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6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6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6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6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6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6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6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6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6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6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6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6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6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6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6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6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6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6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6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6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6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6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6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6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6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6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6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6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6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6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6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18">
        <v>182</v>
      </c>
      <c r="B183" s="19"/>
      <c r="C183" s="19" t="s">
        <v>40</v>
      </c>
      <c r="D183" s="20" t="s">
        <v>316</v>
      </c>
      <c r="E183" s="19" t="s">
        <v>317</v>
      </c>
      <c r="F183" s="19" t="s">
        <v>13</v>
      </c>
      <c r="G183" s="21" t="s">
        <v>311</v>
      </c>
      <c r="H183" s="19" t="s">
        <v>318</v>
      </c>
      <c r="I183" s="19"/>
      <c r="J183" s="21" t="str">
        <f t="shared" si="4"/>
        <v>CupDBDGam182.PQTC.13.03.26</v>
      </c>
      <c r="K183" s="19"/>
      <c r="L183" s="19" t="str">
        <f t="shared" si="5"/>
        <v>182 CupDBDGam182.PQTC.13.03.26 DBD Искра безумия</v>
      </c>
      <c r="M183" s="22"/>
      <c r="N183" s="22"/>
      <c r="O183" s="22"/>
      <c r="P183" s="22"/>
      <c r="Q183" s="22"/>
    </row>
    <row r="184" spans="1:17">
      <c r="A184" s="18">
        <v>183</v>
      </c>
      <c r="B184" s="19"/>
      <c r="C184" s="19" t="s">
        <v>40</v>
      </c>
      <c r="D184" s="20" t="s">
        <v>316</v>
      </c>
      <c r="E184" s="19" t="s">
        <v>319</v>
      </c>
      <c r="F184" s="19" t="s">
        <v>13</v>
      </c>
      <c r="G184" s="21" t="s">
        <v>311</v>
      </c>
      <c r="H184" s="19" t="s">
        <v>320</v>
      </c>
      <c r="I184" s="19"/>
      <c r="J184" s="21" t="str">
        <f t="shared" si="4"/>
        <v>CupDBDGam183.PQTC.13.03.26</v>
      </c>
      <c r="K184" s="19"/>
      <c r="L184" s="19" t="str">
        <f t="shared" si="5"/>
        <v>183 CupDBDGam183.PQTC.13.03.26 DBD Кастлвания</v>
      </c>
      <c r="M184" s="22"/>
      <c r="N184" s="22"/>
      <c r="O184" s="22"/>
      <c r="P184" s="22"/>
      <c r="Q184" s="22"/>
    </row>
    <row r="185" spans="1:17">
      <c r="A185" s="18">
        <v>184</v>
      </c>
      <c r="B185" s="19"/>
      <c r="C185" s="19" t="s">
        <v>40</v>
      </c>
      <c r="D185" s="20" t="s">
        <v>316</v>
      </c>
      <c r="E185" s="19" t="s">
        <v>321</v>
      </c>
      <c r="F185" s="19" t="s">
        <v>13</v>
      </c>
      <c r="G185" s="21" t="s">
        <v>311</v>
      </c>
      <c r="H185" s="19" t="s">
        <v>322</v>
      </c>
      <c r="I185" s="19"/>
      <c r="J185" s="21" t="str">
        <f t="shared" si="4"/>
        <v>CupDBDGam184.PQTC.13.03.26</v>
      </c>
      <c r="K185" s="19"/>
      <c r="L185" s="19" t="str">
        <f t="shared" si="5"/>
        <v>184 CupDBDGam184.PQTC.13.03.26 DBD Портрет убийцы</v>
      </c>
      <c r="M185" s="22"/>
      <c r="N185" s="22"/>
      <c r="O185" s="22"/>
      <c r="P185" s="22"/>
      <c r="Q185" s="22"/>
    </row>
    <row r="186" spans="1:17">
      <c r="A186" s="18">
        <v>185</v>
      </c>
      <c r="B186" s="19"/>
      <c r="C186" s="19" t="s">
        <v>40</v>
      </c>
      <c r="D186" s="20" t="s">
        <v>316</v>
      </c>
      <c r="E186" s="19" t="s">
        <v>323</v>
      </c>
      <c r="F186" s="19" t="s">
        <v>13</v>
      </c>
      <c r="G186" s="21" t="s">
        <v>311</v>
      </c>
      <c r="H186" s="19" t="s">
        <v>324</v>
      </c>
      <c r="I186" s="19"/>
      <c r="J186" s="21" t="str">
        <f t="shared" si="4"/>
        <v>CupDBDGam185.PQTC.13.03.26</v>
      </c>
      <c r="K186" s="19"/>
      <c r="L186" s="19" t="str">
        <f t="shared" si="5"/>
        <v>185 CupDBDGam185.PQTC.13.03.26 DBD Призрачное Лицо</v>
      </c>
      <c r="M186" s="22"/>
      <c r="N186" s="22"/>
      <c r="O186" s="22"/>
      <c r="P186" s="22"/>
      <c r="Q186" s="22"/>
    </row>
    <row r="187" spans="1:17">
      <c r="A187" s="18">
        <v>186</v>
      </c>
      <c r="B187" s="19"/>
      <c r="C187" s="19" t="s">
        <v>40</v>
      </c>
      <c r="D187" s="20" t="s">
        <v>316</v>
      </c>
      <c r="E187" s="19" t="s">
        <v>325</v>
      </c>
      <c r="F187" s="19" t="s">
        <v>13</v>
      </c>
      <c r="G187" s="21" t="s">
        <v>311</v>
      </c>
      <c r="H187" s="19" t="s">
        <v>326</v>
      </c>
      <c r="I187" s="19"/>
      <c r="J187" s="21" t="str">
        <f t="shared" si="4"/>
        <v>CupDBDGam186.PQTC.13.03.26</v>
      </c>
      <c r="K187" s="19"/>
      <c r="L187" s="19" t="str">
        <f t="shared" si="5"/>
        <v>186 CupDBDGam186.PQTC.13.03.26 DBD Полное уничтожение</v>
      </c>
      <c r="M187" s="22"/>
      <c r="N187" s="22"/>
      <c r="O187" s="22"/>
      <c r="P187" s="22"/>
      <c r="Q187" s="22"/>
    </row>
    <row r="188" spans="1:12">
      <c r="A188" s="5">
        <v>187</v>
      </c>
      <c r="C188" s="19" t="s">
        <v>40</v>
      </c>
      <c r="D188" s="20" t="s">
        <v>316</v>
      </c>
      <c r="E188" s="6" t="str">
        <f t="shared" ref="E188:E251" si="6">A188&amp;"."</f>
        <v>187.</v>
      </c>
      <c r="F188" s="19" t="s">
        <v>13</v>
      </c>
      <c r="G188" s="21" t="s">
        <v>327</v>
      </c>
      <c r="H188" s="19" t="s">
        <v>328</v>
      </c>
      <c r="J188" s="21" t="str">
        <f t="shared" si="4"/>
        <v>CupDBDGam187.PQTC.14.03.26</v>
      </c>
      <c r="L188" s="19" t="str">
        <f t="shared" si="5"/>
        <v>187 CupDBDGam187.PQTC.14.03.26 DBD Очень странные дела</v>
      </c>
    </row>
    <row r="189" spans="1:12">
      <c r="A189" s="5">
        <v>188</v>
      </c>
      <c r="C189" s="19" t="s">
        <v>40</v>
      </c>
      <c r="D189" s="20" t="s">
        <v>316</v>
      </c>
      <c r="E189" s="6" t="str">
        <f t="shared" si="6"/>
        <v>188.</v>
      </c>
      <c r="F189" s="19" t="s">
        <v>13</v>
      </c>
      <c r="G189" s="21" t="s">
        <v>327</v>
      </c>
      <c r="H189" s="19" t="s">
        <v>329</v>
      </c>
      <c r="J189" s="21" t="str">
        <f t="shared" si="4"/>
        <v>CupDBDGam188.PQTC.14.03.26</v>
      </c>
      <c r="L189" s="19" t="str">
        <f t="shared" si="5"/>
        <v>188 CupDBDGam188.PQTC.14.03.26 DBD Зловещая благодать</v>
      </c>
    </row>
    <row r="190" spans="1:12">
      <c r="A190" s="5">
        <v>189</v>
      </c>
      <c r="C190" s="19" t="s">
        <v>40</v>
      </c>
      <c r="D190" s="20" t="s">
        <v>316</v>
      </c>
      <c r="E190" s="6" t="str">
        <f t="shared" si="6"/>
        <v>189.</v>
      </c>
      <c r="F190" s="19" t="s">
        <v>13</v>
      </c>
      <c r="G190" s="21" t="s">
        <v>327</v>
      </c>
      <c r="H190" s="19" t="s">
        <v>330</v>
      </c>
      <c r="J190" s="21" t="str">
        <f t="shared" si="4"/>
        <v>CupDBDGam189.PQTC.14.03.26</v>
      </c>
      <c r="L190" s="19" t="str">
        <f t="shared" si="5"/>
        <v>189 CupDBDGam189.PQTC.14.03.26 DBD Пять ночей с Фредди</v>
      </c>
    </row>
    <row r="191" spans="1:12">
      <c r="A191" s="5">
        <v>190</v>
      </c>
      <c r="C191" s="19" t="s">
        <v>40</v>
      </c>
      <c r="D191" s="20" t="s">
        <v>316</v>
      </c>
      <c r="E191" s="6" t="str">
        <f t="shared" si="6"/>
        <v>190.</v>
      </c>
      <c r="F191" s="19" t="s">
        <v>13</v>
      </c>
      <c r="G191" s="21" t="s">
        <v>327</v>
      </c>
      <c r="H191" s="19" t="s">
        <v>331</v>
      </c>
      <c r="J191" s="21" t="str">
        <f t="shared" si="4"/>
        <v>CupDBDGam190.PQTC.14.03.26</v>
      </c>
      <c r="L191" s="19" t="str">
        <f t="shared" si="5"/>
        <v>190 CupDBDGam190.PQTC.14.03.26 DBD Токийский гуль</v>
      </c>
    </row>
    <row r="192" spans="1:12">
      <c r="A192" s="5">
        <v>191</v>
      </c>
      <c r="C192" s="19" t="s">
        <v>40</v>
      </c>
      <c r="D192" s="20" t="s">
        <v>316</v>
      </c>
      <c r="E192" s="6" t="str">
        <f t="shared" si="6"/>
        <v>191.</v>
      </c>
      <c r="F192" s="19" t="s">
        <v>13</v>
      </c>
      <c r="G192" s="21" t="s">
        <v>327</v>
      </c>
      <c r="H192" s="19" t="s">
        <v>332</v>
      </c>
      <c r="J192" s="21" t="str">
        <f t="shared" si="4"/>
        <v>CupDBDGam191.PQTC.14.03.26</v>
      </c>
      <c r="L192" s="19" t="str">
        <f t="shared" si="5"/>
        <v>191 CupDBDGam191.PQTC.14.03.26 DBD Обреченный курс</v>
      </c>
    </row>
    <row r="193" spans="1:12">
      <c r="A193" s="5">
        <v>192</v>
      </c>
      <c r="C193" s="19" t="s">
        <v>40</v>
      </c>
      <c r="D193" s="20" t="s">
        <v>316</v>
      </c>
      <c r="E193" s="6" t="str">
        <f t="shared" si="6"/>
        <v>192.</v>
      </c>
      <c r="F193" s="19" t="s">
        <v>13</v>
      </c>
      <c r="G193" s="21" t="s">
        <v>327</v>
      </c>
      <c r="H193" s="19" t="s">
        <v>333</v>
      </c>
      <c r="J193" s="21" t="str">
        <f t="shared" si="4"/>
        <v>CupDBDGam192.PQTC.14.03.26</v>
      </c>
      <c r="L193" s="19" t="str">
        <f t="shared" si="5"/>
        <v>192 CupDBDGam192.PQTC.14.03.26 DBD Подземелья и драконы</v>
      </c>
    </row>
    <row r="194" spans="1:12">
      <c r="A194" s="5">
        <v>193</v>
      </c>
      <c r="C194" s="19" t="s">
        <v>40</v>
      </c>
      <c r="D194" s="20" t="s">
        <v>316</v>
      </c>
      <c r="E194" s="6" t="str">
        <f t="shared" si="6"/>
        <v>193.</v>
      </c>
      <c r="F194" s="19" t="s">
        <v>13</v>
      </c>
      <c r="G194" s="21" t="s">
        <v>327</v>
      </c>
      <c r="H194" s="19" t="s">
        <v>334</v>
      </c>
      <c r="J194" s="21" t="str">
        <f t="shared" ref="J194:J257" si="7">C194&amp;D194&amp;E194&amp;F194&amp;G194</f>
        <v>CupDBDGam193.PQTC.14.03.26</v>
      </c>
      <c r="L194" s="19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19" t="s">
        <v>40</v>
      </c>
      <c r="D195" s="20" t="s">
        <v>316</v>
      </c>
      <c r="E195" s="6" t="str">
        <f t="shared" si="6"/>
        <v>194.</v>
      </c>
      <c r="F195" s="19" t="s">
        <v>13</v>
      </c>
      <c r="G195" s="21" t="s">
        <v>327</v>
      </c>
      <c r="H195" s="19" t="s">
        <v>335</v>
      </c>
      <c r="J195" s="21" t="str">
        <f t="shared" si="7"/>
        <v>CupDBDGam194.PQTC.14.03.26</v>
      </c>
      <c r="L195" s="19" t="str">
        <f t="shared" si="8"/>
        <v>194 CupDBDGam194.PQTC.14.03.26 DBD Хороший парень — Чаки</v>
      </c>
    </row>
    <row r="196" spans="1:12">
      <c r="A196" s="5">
        <v>195</v>
      </c>
      <c r="C196" s="19" t="s">
        <v>40</v>
      </c>
      <c r="D196" s="20" t="s">
        <v>316</v>
      </c>
      <c r="E196" s="6" t="str">
        <f t="shared" si="6"/>
        <v>195.</v>
      </c>
      <c r="F196" s="19" t="s">
        <v>13</v>
      </c>
      <c r="G196" s="21" t="s">
        <v>327</v>
      </c>
      <c r="H196" s="19" t="s">
        <v>336</v>
      </c>
      <c r="J196" s="21" t="str">
        <f t="shared" si="7"/>
        <v>CupDBDGam195.PQTC.14.03.26</v>
      </c>
      <c r="L196" s="19" t="str">
        <f t="shared" si="8"/>
        <v>195 CupDBDGam195.PQTC.14.03.26 DBD Чужой</v>
      </c>
    </row>
    <row r="197" spans="1:12">
      <c r="A197" s="5">
        <v>196</v>
      </c>
      <c r="C197" s="19" t="s">
        <v>40</v>
      </c>
      <c r="D197" s="20" t="s">
        <v>316</v>
      </c>
      <c r="E197" s="6" t="str">
        <f t="shared" si="6"/>
        <v>196.</v>
      </c>
      <c r="F197" s="19" t="s">
        <v>13</v>
      </c>
      <c r="G197" s="21" t="s">
        <v>327</v>
      </c>
      <c r="H197" s="19" t="s">
        <v>337</v>
      </c>
      <c r="J197" s="21" t="str">
        <f t="shared" si="7"/>
        <v>CupDBDGam196.PQTC.14.03.26</v>
      </c>
      <c r="L197" s="19" t="str">
        <f t="shared" si="8"/>
        <v>196 CupDBDGam196.PQTC.14.03.26 DBD Конец передачи</v>
      </c>
    </row>
    <row r="198" spans="1:12">
      <c r="A198" s="5">
        <v>197</v>
      </c>
      <c r="C198" s="19" t="s">
        <v>10</v>
      </c>
      <c r="D198" s="20" t="s">
        <v>338</v>
      </c>
      <c r="E198" s="6" t="str">
        <f t="shared" si="6"/>
        <v>197.</v>
      </c>
      <c r="F198" s="19" t="s">
        <v>13</v>
      </c>
      <c r="G198" s="21" t="s">
        <v>339</v>
      </c>
      <c r="H198" s="6" t="s">
        <v>340</v>
      </c>
      <c r="J198" s="21" t="str">
        <f t="shared" si="7"/>
        <v>NtrAntaly197.PQTC.15.03.26</v>
      </c>
      <c r="L198" s="19" t="str">
        <f t="shared" si="8"/>
        <v>197 NtrAntaly197.PQTC.15.03.26 Анталья аллея парящих зонтиков</v>
      </c>
    </row>
    <row r="199" spans="1:12">
      <c r="A199" s="5">
        <v>198</v>
      </c>
      <c r="C199" s="19" t="s">
        <v>10</v>
      </c>
      <c r="D199" s="20" t="s">
        <v>338</v>
      </c>
      <c r="E199" s="6" t="str">
        <f t="shared" si="6"/>
        <v>198.</v>
      </c>
      <c r="F199" s="19" t="s">
        <v>13</v>
      </c>
      <c r="G199" s="21" t="s">
        <v>339</v>
      </c>
      <c r="H199" s="6" t="s">
        <v>340</v>
      </c>
      <c r="J199" s="21" t="str">
        <f t="shared" si="7"/>
        <v>NtrAntaly198.PQTC.15.03.26</v>
      </c>
      <c r="L199" s="19" t="str">
        <f t="shared" si="8"/>
        <v>198 NtrAntaly198.PQTC.15.03.26 Анталья аллея парящих зонтиков</v>
      </c>
    </row>
    <row r="200" spans="1:12">
      <c r="A200" s="5">
        <v>199</v>
      </c>
      <c r="C200" s="19" t="s">
        <v>10</v>
      </c>
      <c r="D200" s="20" t="s">
        <v>338</v>
      </c>
      <c r="E200" s="6" t="str">
        <f t="shared" si="6"/>
        <v>199.</v>
      </c>
      <c r="F200" s="19" t="s">
        <v>13</v>
      </c>
      <c r="G200" s="21" t="s">
        <v>339</v>
      </c>
      <c r="H200" s="6" t="s">
        <v>340</v>
      </c>
      <c r="J200" s="21" t="str">
        <f t="shared" si="7"/>
        <v>NtrAntaly199.PQTC.15.03.26</v>
      </c>
      <c r="L200" s="19" t="str">
        <f t="shared" si="8"/>
        <v>199 NtrAntaly199.PQTC.15.03.26 Анталья аллея парящих зонтиков</v>
      </c>
    </row>
    <row r="201" spans="1:12">
      <c r="A201" s="5">
        <v>200</v>
      </c>
      <c r="C201" s="19" t="s">
        <v>10</v>
      </c>
      <c r="D201" s="20" t="s">
        <v>338</v>
      </c>
      <c r="E201" s="6" t="str">
        <f t="shared" si="6"/>
        <v>200.</v>
      </c>
      <c r="F201" s="19" t="s">
        <v>13</v>
      </c>
      <c r="G201" s="21" t="s">
        <v>339</v>
      </c>
      <c r="H201" s="6" t="s">
        <v>341</v>
      </c>
      <c r="J201" s="21" t="str">
        <f t="shared" si="7"/>
        <v>NtrAntaly200.PQTC.15.03.26</v>
      </c>
      <c r="L201" s="19" t="str">
        <f t="shared" si="8"/>
        <v>200 NtrAntaly200.PQTC.15.03.26 Анталья дюденские водопады</v>
      </c>
    </row>
    <row r="202" spans="1:12">
      <c r="A202" s="5">
        <v>201</v>
      </c>
      <c r="C202" s="19" t="s">
        <v>10</v>
      </c>
      <c r="D202" s="20" t="s">
        <v>338</v>
      </c>
      <c r="E202" s="6" t="str">
        <f t="shared" si="6"/>
        <v>201.</v>
      </c>
      <c r="F202" s="19" t="s">
        <v>13</v>
      </c>
      <c r="G202" s="21" t="s">
        <v>339</v>
      </c>
      <c r="H202" s="6" t="s">
        <v>341</v>
      </c>
      <c r="J202" s="21" t="str">
        <f t="shared" si="7"/>
        <v>NtrAntaly201.PQTC.15.03.26</v>
      </c>
      <c r="L202" s="19" t="str">
        <f t="shared" si="8"/>
        <v>201 NtrAntaly201.PQTC.15.03.26 Анталья дюденские водопады</v>
      </c>
    </row>
    <row r="203" spans="1:12">
      <c r="A203" s="5">
        <v>202</v>
      </c>
      <c r="C203" s="19" t="s">
        <v>10</v>
      </c>
      <c r="D203" s="20" t="s">
        <v>338</v>
      </c>
      <c r="E203" s="6" t="str">
        <f t="shared" si="6"/>
        <v>202.</v>
      </c>
      <c r="F203" s="19" t="s">
        <v>13</v>
      </c>
      <c r="G203" s="21" t="s">
        <v>339</v>
      </c>
      <c r="H203" s="6" t="s">
        <v>341</v>
      </c>
      <c r="J203" s="21" t="str">
        <f t="shared" si="7"/>
        <v>NtrAntaly202.PQTC.15.03.26</v>
      </c>
      <c r="L203" s="19" t="str">
        <f t="shared" si="8"/>
        <v>202 NtrAntaly202.PQTC.15.03.26 Анталья дюденские водопады</v>
      </c>
    </row>
    <row r="204" spans="1:12">
      <c r="A204" s="5">
        <v>203</v>
      </c>
      <c r="C204" s="19" t="s">
        <v>10</v>
      </c>
      <c r="D204" s="20" t="s">
        <v>338</v>
      </c>
      <c r="E204" s="6" t="str">
        <f t="shared" si="6"/>
        <v>203.</v>
      </c>
      <c r="F204" s="19" t="s">
        <v>13</v>
      </c>
      <c r="G204" s="21" t="s">
        <v>339</v>
      </c>
      <c r="H204" s="6" t="s">
        <v>341</v>
      </c>
      <c r="J204" s="21" t="str">
        <f t="shared" si="7"/>
        <v>NtrAntaly203.PQTC.15.03.26</v>
      </c>
      <c r="L204" s="19" t="str">
        <f t="shared" si="8"/>
        <v>203 NtrAntaly203.PQTC.15.03.26 Анталья дюденские водопады</v>
      </c>
    </row>
    <row r="205" spans="1:12">
      <c r="A205" s="5">
        <v>204</v>
      </c>
      <c r="C205" s="19" t="s">
        <v>10</v>
      </c>
      <c r="D205" s="20" t="s">
        <v>338</v>
      </c>
      <c r="E205" s="6" t="str">
        <f t="shared" si="6"/>
        <v>204.</v>
      </c>
      <c r="F205" s="19" t="s">
        <v>13</v>
      </c>
      <c r="G205" s="21" t="s">
        <v>339</v>
      </c>
      <c r="H205" s="6" t="s">
        <v>341</v>
      </c>
      <c r="J205" s="21" t="str">
        <f t="shared" si="7"/>
        <v>NtrAntaly204.PQTC.15.03.26</v>
      </c>
      <c r="L205" s="19" t="str">
        <f t="shared" si="8"/>
        <v>204 NtrAntaly204.PQTC.15.03.26 Анталья дюденские водопады</v>
      </c>
    </row>
    <row r="206" spans="1:12">
      <c r="A206" s="5">
        <v>205</v>
      </c>
      <c r="C206" s="19" t="s">
        <v>10</v>
      </c>
      <c r="D206" s="20" t="s">
        <v>338</v>
      </c>
      <c r="E206" s="6" t="str">
        <f t="shared" si="6"/>
        <v>205.</v>
      </c>
      <c r="F206" s="19" t="s">
        <v>13</v>
      </c>
      <c r="G206" s="21" t="s">
        <v>339</v>
      </c>
      <c r="H206" s="6" t="s">
        <v>341</v>
      </c>
      <c r="J206" s="21" t="str">
        <f t="shared" si="7"/>
        <v>NtrAntaly205.PQTC.15.03.26</v>
      </c>
      <c r="L206" s="19" t="str">
        <f t="shared" si="8"/>
        <v>205 NtrAntaly205.PQTC.15.03.26 Анталья дюденские водопады</v>
      </c>
    </row>
    <row r="207" spans="1:12">
      <c r="A207" s="5">
        <v>206</v>
      </c>
      <c r="C207" s="19" t="s">
        <v>10</v>
      </c>
      <c r="D207" s="20" t="s">
        <v>338</v>
      </c>
      <c r="E207" s="6" t="str">
        <f t="shared" si="6"/>
        <v>206.</v>
      </c>
      <c r="F207" s="19" t="s">
        <v>13</v>
      </c>
      <c r="G207" s="21" t="s">
        <v>339</v>
      </c>
      <c r="H207" s="6" t="s">
        <v>341</v>
      </c>
      <c r="J207" s="21" t="str">
        <f t="shared" si="7"/>
        <v>NtrAntaly206.PQTC.15.03.26</v>
      </c>
      <c r="L207" s="19" t="str">
        <f t="shared" si="8"/>
        <v>206 NtrAntaly206.PQTC.15.03.26 Анталья дюденские водопады</v>
      </c>
    </row>
    <row r="208" spans="1:12">
      <c r="A208" s="5">
        <v>207</v>
      </c>
      <c r="C208" s="19" t="s">
        <v>10</v>
      </c>
      <c r="D208" s="20" t="s">
        <v>338</v>
      </c>
      <c r="E208" s="6" t="str">
        <f t="shared" si="6"/>
        <v>207.</v>
      </c>
      <c r="F208" s="19" t="s">
        <v>13</v>
      </c>
      <c r="G208" s="21" t="s">
        <v>339</v>
      </c>
      <c r="H208" s="6" t="s">
        <v>341</v>
      </c>
      <c r="J208" s="21" t="str">
        <f t="shared" si="7"/>
        <v>NtrAntaly207.PQTC.15.03.26</v>
      </c>
      <c r="L208" s="19" t="str">
        <f t="shared" si="8"/>
        <v>207 NtrAntaly207.PQTC.15.03.26 Анталья дюденские водопады</v>
      </c>
    </row>
    <row r="209" spans="1:12">
      <c r="A209" s="5">
        <v>208</v>
      </c>
      <c r="C209" s="19" t="s">
        <v>10</v>
      </c>
      <c r="D209" s="20" t="s">
        <v>338</v>
      </c>
      <c r="E209" s="6" t="str">
        <f t="shared" si="6"/>
        <v>208.</v>
      </c>
      <c r="F209" s="19" t="s">
        <v>13</v>
      </c>
      <c r="G209" s="21" t="s">
        <v>339</v>
      </c>
      <c r="H209" s="6" t="s">
        <v>341</v>
      </c>
      <c r="J209" s="21" t="str">
        <f t="shared" si="7"/>
        <v>NtrAntaly208.PQTC.15.03.26</v>
      </c>
      <c r="L209" s="19" t="str">
        <f t="shared" si="8"/>
        <v>208 NtrAntaly208.PQTC.15.03.26 Анталья дюденские водопады</v>
      </c>
    </row>
    <row r="210" spans="1:12">
      <c r="A210" s="5">
        <v>209</v>
      </c>
      <c r="C210" s="19" t="s">
        <v>10</v>
      </c>
      <c r="D210" s="20" t="s">
        <v>338</v>
      </c>
      <c r="E210" s="6" t="str">
        <f t="shared" si="6"/>
        <v>209.</v>
      </c>
      <c r="F210" s="19" t="s">
        <v>13</v>
      </c>
      <c r="G210" s="21" t="s">
        <v>339</v>
      </c>
      <c r="H210" s="6" t="s">
        <v>341</v>
      </c>
      <c r="J210" s="21" t="str">
        <f t="shared" si="7"/>
        <v>NtrAntaly209.PQTC.15.03.26</v>
      </c>
      <c r="L210" s="19" t="str">
        <f t="shared" si="8"/>
        <v>209 NtrAntaly209.PQTC.15.03.26 Анталья дюденские водопады</v>
      </c>
    </row>
    <row r="211" spans="1:12">
      <c r="A211" s="5">
        <v>210</v>
      </c>
      <c r="C211" s="19" t="s">
        <v>10</v>
      </c>
      <c r="D211" s="20" t="s">
        <v>338</v>
      </c>
      <c r="E211" s="6" t="str">
        <f t="shared" si="6"/>
        <v>210.</v>
      </c>
      <c r="F211" s="19" t="s">
        <v>13</v>
      </c>
      <c r="G211" s="21" t="s">
        <v>339</v>
      </c>
      <c r="H211" s="6" t="s">
        <v>340</v>
      </c>
      <c r="J211" s="21" t="str">
        <f t="shared" si="7"/>
        <v>NtrAntaly210.PQTC.15.03.26</v>
      </c>
      <c r="L211" s="19" t="str">
        <f t="shared" si="8"/>
        <v>210 NtrAntaly210.PQTC.15.03.26 Анталья аллея парящих зонтиков</v>
      </c>
    </row>
    <row r="212" spans="1:12">
      <c r="A212" s="5">
        <v>211</v>
      </c>
      <c r="C212" s="19" t="s">
        <v>10</v>
      </c>
      <c r="D212" s="20" t="s">
        <v>338</v>
      </c>
      <c r="E212" s="6" t="str">
        <f t="shared" si="6"/>
        <v>211.</v>
      </c>
      <c r="F212" s="19" t="s">
        <v>13</v>
      </c>
      <c r="G212" s="8" t="s">
        <v>342</v>
      </c>
      <c r="H212" s="6" t="s">
        <v>343</v>
      </c>
      <c r="J212" s="21" t="str">
        <f t="shared" si="7"/>
        <v>NtrAntaly211.PQTC.16.03.26</v>
      </c>
      <c r="L212" s="19" t="str">
        <f t="shared" si="8"/>
        <v>211 NtrAntaly211.PQTC.16.03.26 Анталья озеро Салда</v>
      </c>
    </row>
    <row r="213" spans="1:12">
      <c r="A213" s="5">
        <v>212</v>
      </c>
      <c r="C213" s="19" t="s">
        <v>10</v>
      </c>
      <c r="D213" s="20" t="s">
        <v>338</v>
      </c>
      <c r="E213" s="6" t="str">
        <f t="shared" si="6"/>
        <v>212.</v>
      </c>
      <c r="F213" s="19" t="s">
        <v>13</v>
      </c>
      <c r="G213" s="8" t="s">
        <v>342</v>
      </c>
      <c r="H213" s="6" t="s">
        <v>343</v>
      </c>
      <c r="J213" s="21" t="str">
        <f t="shared" si="7"/>
        <v>NtrAntaly212.PQTC.16.03.26</v>
      </c>
      <c r="L213" s="19" t="str">
        <f t="shared" si="8"/>
        <v>212 NtrAntaly212.PQTC.16.03.26 Анталья озеро Салда</v>
      </c>
    </row>
    <row r="214" spans="1:12">
      <c r="A214" s="5">
        <v>213</v>
      </c>
      <c r="C214" s="19" t="s">
        <v>10</v>
      </c>
      <c r="D214" s="20" t="s">
        <v>338</v>
      </c>
      <c r="E214" s="6" t="str">
        <f t="shared" si="6"/>
        <v>213.</v>
      </c>
      <c r="F214" s="19" t="s">
        <v>13</v>
      </c>
      <c r="G214" s="8" t="s">
        <v>342</v>
      </c>
      <c r="H214" s="6" t="s">
        <v>343</v>
      </c>
      <c r="J214" s="21" t="str">
        <f t="shared" si="7"/>
        <v>NtrAntaly213.PQTC.16.03.26</v>
      </c>
      <c r="L214" s="19" t="str">
        <f t="shared" si="8"/>
        <v>213 NtrAntaly213.PQTC.16.03.26 Анталья озеро Салда</v>
      </c>
    </row>
    <row r="215" spans="1:12">
      <c r="A215" s="5">
        <v>214</v>
      </c>
      <c r="C215" s="19" t="s">
        <v>10</v>
      </c>
      <c r="D215" s="20" t="s">
        <v>338</v>
      </c>
      <c r="E215" s="6" t="str">
        <f t="shared" si="6"/>
        <v>214.</v>
      </c>
      <c r="F215" s="19" t="s">
        <v>13</v>
      </c>
      <c r="G215" s="8" t="s">
        <v>342</v>
      </c>
      <c r="H215" s="6" t="s">
        <v>343</v>
      </c>
      <c r="J215" s="21" t="str">
        <f t="shared" si="7"/>
        <v>NtrAntaly214.PQTC.16.03.26</v>
      </c>
      <c r="L215" s="19" t="str">
        <f t="shared" si="8"/>
        <v>214 NtrAntaly214.PQTC.16.03.26 Анталья озеро Салда</v>
      </c>
    </row>
    <row r="216" spans="1:12">
      <c r="A216" s="5">
        <v>215</v>
      </c>
      <c r="C216" s="19" t="s">
        <v>10</v>
      </c>
      <c r="D216" s="20" t="s">
        <v>338</v>
      </c>
      <c r="E216" s="6" t="str">
        <f t="shared" si="6"/>
        <v>215.</v>
      </c>
      <c r="F216" s="19" t="s">
        <v>13</v>
      </c>
      <c r="G216" s="8" t="s">
        <v>342</v>
      </c>
      <c r="H216" s="6" t="s">
        <v>343</v>
      </c>
      <c r="J216" s="21" t="str">
        <f t="shared" si="7"/>
        <v>NtrAntaly215.PQTC.16.03.26</v>
      </c>
      <c r="L216" s="19" t="str">
        <f t="shared" si="8"/>
        <v>215 NtrAntaly215.PQTC.16.03.26 Анталья озеро Салда</v>
      </c>
    </row>
    <row r="217" spans="1:12">
      <c r="A217" s="5">
        <v>216</v>
      </c>
      <c r="C217" s="19" t="s">
        <v>10</v>
      </c>
      <c r="D217" s="20" t="s">
        <v>338</v>
      </c>
      <c r="E217" s="6" t="str">
        <f t="shared" si="6"/>
        <v>216.</v>
      </c>
      <c r="F217" s="19" t="s">
        <v>13</v>
      </c>
      <c r="G217" s="8" t="s">
        <v>342</v>
      </c>
      <c r="H217" s="6" t="s">
        <v>343</v>
      </c>
      <c r="J217" s="21" t="str">
        <f t="shared" si="7"/>
        <v>NtrAntaly216.PQTC.16.03.26</v>
      </c>
      <c r="L217" s="19" t="str">
        <f t="shared" si="8"/>
        <v>216 NtrAntaly216.PQTC.16.03.26 Анталья озеро Салда</v>
      </c>
    </row>
    <row r="218" spans="1:12">
      <c r="A218" s="5">
        <v>217</v>
      </c>
      <c r="C218" s="19" t="s">
        <v>10</v>
      </c>
      <c r="D218" s="20" t="s">
        <v>338</v>
      </c>
      <c r="E218" s="6" t="str">
        <f t="shared" si="6"/>
        <v>217.</v>
      </c>
      <c r="F218" s="19" t="s">
        <v>13</v>
      </c>
      <c r="G218" s="8" t="s">
        <v>342</v>
      </c>
      <c r="H218" s="6" t="s">
        <v>343</v>
      </c>
      <c r="J218" s="21" t="str">
        <f t="shared" si="7"/>
        <v>NtrAntaly217.PQTC.16.03.26</v>
      </c>
      <c r="L218" s="19" t="str">
        <f t="shared" si="8"/>
        <v>217 NtrAntaly217.PQTC.16.03.26 Анталья озеро Салда</v>
      </c>
    </row>
    <row r="219" spans="1:12">
      <c r="A219" s="5">
        <v>218</v>
      </c>
      <c r="C219" s="19" t="s">
        <v>10</v>
      </c>
      <c r="D219" s="20" t="s">
        <v>338</v>
      </c>
      <c r="E219" s="6" t="str">
        <f t="shared" si="6"/>
        <v>218.</v>
      </c>
      <c r="F219" s="19" t="s">
        <v>13</v>
      </c>
      <c r="G219" s="8" t="s">
        <v>342</v>
      </c>
      <c r="H219" s="6" t="s">
        <v>344</v>
      </c>
      <c r="J219" s="21" t="str">
        <f t="shared" si="7"/>
        <v>NtrAntaly218.PQTC.16.03.26</v>
      </c>
      <c r="L219" s="19" t="str">
        <f t="shared" si="8"/>
        <v>218 NtrAntaly218.PQTC.16.03.26 Анталья античный город Кибира</v>
      </c>
    </row>
    <row r="220" spans="1:12">
      <c r="A220" s="5">
        <v>219</v>
      </c>
      <c r="C220" s="19" t="s">
        <v>10</v>
      </c>
      <c r="D220" s="20" t="s">
        <v>338</v>
      </c>
      <c r="E220" s="6" t="str">
        <f t="shared" si="6"/>
        <v>219.</v>
      </c>
      <c r="F220" s="19" t="s">
        <v>13</v>
      </c>
      <c r="G220" s="8" t="s">
        <v>342</v>
      </c>
      <c r="H220" s="6" t="s">
        <v>345</v>
      </c>
      <c r="J220" s="21" t="str">
        <f t="shared" si="7"/>
        <v>NtrAntaly219.PQTC.16.03.26</v>
      </c>
      <c r="L220" s="19" t="str">
        <f t="shared" si="8"/>
        <v>219 NtrAntaly219.PQTC.16.03.26 Анталья минарет Кесик</v>
      </c>
    </row>
    <row r="221" spans="1:12">
      <c r="A221" s="5">
        <v>220</v>
      </c>
      <c r="C221" s="19" t="s">
        <v>10</v>
      </c>
      <c r="D221" s="20" t="s">
        <v>338</v>
      </c>
      <c r="E221" s="6" t="str">
        <f t="shared" si="6"/>
        <v>220.</v>
      </c>
      <c r="F221" s="19" t="s">
        <v>13</v>
      </c>
      <c r="G221" s="8" t="s">
        <v>342</v>
      </c>
      <c r="H221" s="6" t="s">
        <v>346</v>
      </c>
      <c r="J221" s="21" t="str">
        <f t="shared" si="7"/>
        <v>NtrAntaly220.PQTC.16.03.26</v>
      </c>
      <c r="L221" s="19" t="str">
        <f t="shared" si="8"/>
        <v>220 NtrAntaly220.PQTC.16.03.26 Анталья древний город Андриаке</v>
      </c>
    </row>
    <row r="222" spans="1:12">
      <c r="A222" s="5">
        <v>221</v>
      </c>
      <c r="C222" s="19" t="s">
        <v>10</v>
      </c>
      <c r="D222" s="20" t="s">
        <v>338</v>
      </c>
      <c r="E222" s="6" t="str">
        <f t="shared" si="6"/>
        <v>221.</v>
      </c>
      <c r="F222" s="19" t="s">
        <v>13</v>
      </c>
      <c r="G222" s="8" t="s">
        <v>342</v>
      </c>
      <c r="H222" s="6" t="s">
        <v>347</v>
      </c>
      <c r="J222" s="21" t="str">
        <f t="shared" si="7"/>
        <v>NtrAntaly221.PQTC.16.03.26</v>
      </c>
      <c r="L222" s="19" t="str">
        <f t="shared" si="8"/>
        <v>221 NtrAntaly221.PQTC.16.03.26 Анталья руины Перге</v>
      </c>
    </row>
    <row r="223" spans="1:12">
      <c r="A223" s="5">
        <v>222</v>
      </c>
      <c r="C223" s="19" t="s">
        <v>10</v>
      </c>
      <c r="D223" s="20" t="s">
        <v>338</v>
      </c>
      <c r="E223" s="6" t="str">
        <f t="shared" si="6"/>
        <v>222.</v>
      </c>
      <c r="F223" s="19" t="s">
        <v>13</v>
      </c>
      <c r="G223" s="8" t="s">
        <v>348</v>
      </c>
      <c r="H223" s="6" t="s">
        <v>349</v>
      </c>
      <c r="J223" s="21" t="str">
        <f t="shared" si="7"/>
        <v>NtrAntaly222.PQTC.17.03.26</v>
      </c>
      <c r="L223" s="19" t="str">
        <f t="shared" si="8"/>
        <v>222 NtrAntaly222.PQTC.17.03.26 Анталья ворота Адриана</v>
      </c>
    </row>
    <row r="224" spans="1:12">
      <c r="A224" s="5">
        <v>223</v>
      </c>
      <c r="C224" s="19" t="s">
        <v>10</v>
      </c>
      <c r="D224" s="20" t="s">
        <v>338</v>
      </c>
      <c r="E224" s="6" t="str">
        <f t="shared" si="6"/>
        <v>223.</v>
      </c>
      <c r="F224" s="19" t="s">
        <v>13</v>
      </c>
      <c r="G224" s="8" t="s">
        <v>348</v>
      </c>
      <c r="H224" s="6" t="s">
        <v>349</v>
      </c>
      <c r="J224" s="21" t="str">
        <f t="shared" si="7"/>
        <v>NtrAntaly223.PQTC.17.03.26</v>
      </c>
      <c r="L224" s="19" t="str">
        <f t="shared" si="8"/>
        <v>223 NtrAntaly223.PQTC.17.03.26 Анталья ворота Адриана</v>
      </c>
    </row>
    <row r="225" spans="1:12">
      <c r="A225" s="5">
        <v>224</v>
      </c>
      <c r="C225" s="19" t="s">
        <v>10</v>
      </c>
      <c r="D225" s="20" t="s">
        <v>338</v>
      </c>
      <c r="E225" s="6" t="str">
        <f t="shared" si="6"/>
        <v>224.</v>
      </c>
      <c r="F225" s="19" t="s">
        <v>13</v>
      </c>
      <c r="G225" s="8" t="s">
        <v>348</v>
      </c>
      <c r="H225" s="6" t="s">
        <v>349</v>
      </c>
      <c r="J225" s="21" t="str">
        <f t="shared" si="7"/>
        <v>NtrAntaly224.PQTC.17.03.26</v>
      </c>
      <c r="L225" s="19" t="str">
        <f t="shared" si="8"/>
        <v>224 NtrAntaly224.PQTC.17.03.26 Анталья ворота Адриана</v>
      </c>
    </row>
    <row r="226" spans="1:12">
      <c r="A226" s="5">
        <v>225</v>
      </c>
      <c r="C226" s="19" t="s">
        <v>10</v>
      </c>
      <c r="D226" s="20" t="s">
        <v>338</v>
      </c>
      <c r="E226" s="6" t="str">
        <f t="shared" si="6"/>
        <v>225.</v>
      </c>
      <c r="F226" s="19" t="s">
        <v>13</v>
      </c>
      <c r="G226" s="8" t="s">
        <v>348</v>
      </c>
      <c r="H226" s="6" t="s">
        <v>350</v>
      </c>
      <c r="J226" s="21" t="str">
        <f t="shared" si="7"/>
        <v>NtrAntaly225.PQTC.17.03.26</v>
      </c>
      <c r="L226" s="19" t="str">
        <f t="shared" si="8"/>
        <v>225 NtrAntaly225.PQTC.17.03.26 Анталья башня Хыдырлык</v>
      </c>
    </row>
    <row r="227" spans="1:12">
      <c r="A227" s="5">
        <v>226</v>
      </c>
      <c r="C227" s="19" t="s">
        <v>10</v>
      </c>
      <c r="D227" s="20" t="s">
        <v>338</v>
      </c>
      <c r="E227" s="6" t="str">
        <f t="shared" si="6"/>
        <v>226.</v>
      </c>
      <c r="F227" s="19" t="s">
        <v>13</v>
      </c>
      <c r="G227" s="8" t="s">
        <v>348</v>
      </c>
      <c r="H227" s="6" t="s">
        <v>350</v>
      </c>
      <c r="J227" s="21" t="str">
        <f t="shared" si="7"/>
        <v>NtrAntaly226.PQTC.17.03.26</v>
      </c>
      <c r="L227" s="19" t="str">
        <f t="shared" si="8"/>
        <v>226 NtrAntaly226.PQTC.17.03.26 Анталья башня Хыдырлык</v>
      </c>
    </row>
    <row r="228" spans="1:12">
      <c r="A228" s="5">
        <v>227</v>
      </c>
      <c r="C228" s="19" t="s">
        <v>10</v>
      </c>
      <c r="D228" s="20" t="s">
        <v>338</v>
      </c>
      <c r="E228" s="6" t="str">
        <f t="shared" si="6"/>
        <v>227.</v>
      </c>
      <c r="F228" s="19" t="s">
        <v>13</v>
      </c>
      <c r="G228" s="8" t="s">
        <v>348</v>
      </c>
      <c r="H228" s="6" t="s">
        <v>350</v>
      </c>
      <c r="J228" s="21" t="str">
        <f t="shared" si="7"/>
        <v>NtrAntaly227.PQTC.17.03.26</v>
      </c>
      <c r="L228" s="19" t="str">
        <f t="shared" si="8"/>
        <v>227 NtrAntaly227.PQTC.17.03.26 Анталья башня Хыдырлык</v>
      </c>
    </row>
    <row r="229" spans="1:12">
      <c r="A229" s="5">
        <v>228</v>
      </c>
      <c r="C229" s="19" t="s">
        <v>10</v>
      </c>
      <c r="D229" s="20" t="s">
        <v>338</v>
      </c>
      <c r="E229" s="6" t="str">
        <f t="shared" si="6"/>
        <v>228.</v>
      </c>
      <c r="F229" s="19" t="s">
        <v>13</v>
      </c>
      <c r="G229" s="8" t="s">
        <v>348</v>
      </c>
      <c r="H229" s="6" t="s">
        <v>350</v>
      </c>
      <c r="J229" s="21" t="str">
        <f t="shared" si="7"/>
        <v>NtrAntaly228.PQTC.17.03.26</v>
      </c>
      <c r="L229" s="19" t="str">
        <f t="shared" si="8"/>
        <v>228 NtrAntaly228.PQTC.17.03.26 Анталья башня Хыдырлык</v>
      </c>
    </row>
    <row r="230" spans="1:12">
      <c r="A230" s="5">
        <v>229</v>
      </c>
      <c r="C230" s="19" t="s">
        <v>10</v>
      </c>
      <c r="D230" s="20" t="s">
        <v>338</v>
      </c>
      <c r="E230" s="6" t="str">
        <f t="shared" si="6"/>
        <v>229.</v>
      </c>
      <c r="F230" s="19" t="s">
        <v>13</v>
      </c>
      <c r="G230" s="8" t="s">
        <v>348</v>
      </c>
      <c r="H230" s="6" t="s">
        <v>350</v>
      </c>
      <c r="J230" s="21" t="str">
        <f t="shared" si="7"/>
        <v>NtrAntaly229.PQTC.17.03.26</v>
      </c>
      <c r="L230" s="19" t="str">
        <f t="shared" si="8"/>
        <v>229 NtrAntaly229.PQTC.17.03.26 Анталья башня Хыдырлык</v>
      </c>
    </row>
    <row r="231" spans="1:12">
      <c r="A231" s="5">
        <v>230</v>
      </c>
      <c r="C231" s="19" t="s">
        <v>10</v>
      </c>
      <c r="D231" s="20" t="s">
        <v>338</v>
      </c>
      <c r="E231" s="6" t="str">
        <f t="shared" si="6"/>
        <v>230.</v>
      </c>
      <c r="F231" s="19" t="s">
        <v>13</v>
      </c>
      <c r="G231" s="8" t="s">
        <v>348</v>
      </c>
      <c r="H231" s="6" t="s">
        <v>350</v>
      </c>
      <c r="J231" s="21" t="str">
        <f t="shared" si="7"/>
        <v>NtrAntaly230.PQTC.17.03.26</v>
      </c>
      <c r="L231" s="19" t="str">
        <f t="shared" si="8"/>
        <v>230 NtrAntaly230.PQTC.17.03.26 Анталья башня Хыдырлык</v>
      </c>
    </row>
    <row r="232" spans="1:12">
      <c r="A232" s="5">
        <v>231</v>
      </c>
      <c r="C232" s="19" t="s">
        <v>10</v>
      </c>
      <c r="D232" s="20" t="s">
        <v>338</v>
      </c>
      <c r="E232" s="6" t="str">
        <f t="shared" si="6"/>
        <v>231.</v>
      </c>
      <c r="F232" s="19" t="s">
        <v>13</v>
      </c>
      <c r="G232" s="8" t="s">
        <v>348</v>
      </c>
      <c r="H232" s="6" t="s">
        <v>351</v>
      </c>
      <c r="J232" s="21" t="str">
        <f t="shared" si="7"/>
        <v>NtrAntaly231.PQTC.17.03.26</v>
      </c>
      <c r="L232" s="19" t="str">
        <f t="shared" si="8"/>
        <v>231 NtrAntaly231.PQTC.17.03.26 Анталья порт Калеичи</v>
      </c>
    </row>
    <row r="233" spans="1:12">
      <c r="A233" s="5">
        <v>232</v>
      </c>
      <c r="C233" s="19" t="s">
        <v>10</v>
      </c>
      <c r="D233" s="20" t="s">
        <v>338</v>
      </c>
      <c r="E233" s="6" t="str">
        <f t="shared" si="6"/>
        <v>232.</v>
      </c>
      <c r="F233" s="19" t="s">
        <v>13</v>
      </c>
      <c r="G233" s="8" t="s">
        <v>352</v>
      </c>
      <c r="H233" s="6" t="s">
        <v>351</v>
      </c>
      <c r="J233" s="21" t="str">
        <f t="shared" si="7"/>
        <v>NtrAntaly232.PQTC.18.03.26</v>
      </c>
      <c r="L233" s="19" t="str">
        <f t="shared" si="8"/>
        <v>232 NtrAntaly232.PQTC.18.03.26 Анталья порт Калеичи</v>
      </c>
    </row>
    <row r="234" spans="1:12">
      <c r="A234" s="5">
        <v>233</v>
      </c>
      <c r="C234" s="19" t="s">
        <v>10</v>
      </c>
      <c r="D234" s="20" t="s">
        <v>338</v>
      </c>
      <c r="E234" s="6" t="str">
        <f t="shared" si="6"/>
        <v>233.</v>
      </c>
      <c r="F234" s="19" t="s">
        <v>13</v>
      </c>
      <c r="G234" s="8" t="s">
        <v>352</v>
      </c>
      <c r="H234" s="6" t="s">
        <v>351</v>
      </c>
      <c r="J234" s="21" t="str">
        <f t="shared" si="7"/>
        <v>NtrAntaly233.PQTC.18.03.26</v>
      </c>
      <c r="L234" s="19" t="str">
        <f t="shared" si="8"/>
        <v>233 NtrAntaly233.PQTC.18.03.26 Анталья порт Калеичи</v>
      </c>
    </row>
    <row r="235" spans="1:12">
      <c r="A235" s="5">
        <v>234</v>
      </c>
      <c r="C235" s="19" t="s">
        <v>10</v>
      </c>
      <c r="D235" s="20" t="s">
        <v>338</v>
      </c>
      <c r="E235" s="6" t="str">
        <f t="shared" si="6"/>
        <v>234.</v>
      </c>
      <c r="F235" s="19" t="s">
        <v>13</v>
      </c>
      <c r="G235" s="8" t="s">
        <v>352</v>
      </c>
      <c r="H235" s="6" t="s">
        <v>351</v>
      </c>
      <c r="J235" s="21" t="str">
        <f t="shared" si="7"/>
        <v>NtrAntaly234.PQTC.18.03.26</v>
      </c>
      <c r="L235" s="19" t="str">
        <f t="shared" si="8"/>
        <v>234 NtrAntaly234.PQTC.18.03.26 Анталья порт Калеичи</v>
      </c>
    </row>
    <row r="236" spans="1:12">
      <c r="A236" s="5">
        <v>235</v>
      </c>
      <c r="C236" s="19" t="s">
        <v>10</v>
      </c>
      <c r="D236" s="20" t="s">
        <v>338</v>
      </c>
      <c r="E236" s="6" t="str">
        <f t="shared" si="6"/>
        <v>235.</v>
      </c>
      <c r="F236" s="19" t="s">
        <v>13</v>
      </c>
      <c r="G236" s="8" t="s">
        <v>352</v>
      </c>
      <c r="H236" s="6" t="s">
        <v>351</v>
      </c>
      <c r="J236" s="21" t="str">
        <f t="shared" si="7"/>
        <v>NtrAntaly235.PQTC.18.03.26</v>
      </c>
      <c r="L236" s="19" t="str">
        <f t="shared" si="8"/>
        <v>235 NtrAntaly235.PQTC.18.03.26 Анталья порт Калеичи</v>
      </c>
    </row>
    <row r="237" spans="1:12">
      <c r="A237" s="5">
        <v>236</v>
      </c>
      <c r="C237" s="19" t="s">
        <v>10</v>
      </c>
      <c r="D237" s="20" t="s">
        <v>338</v>
      </c>
      <c r="E237" s="6" t="str">
        <f t="shared" si="6"/>
        <v>236.</v>
      </c>
      <c r="F237" s="19" t="s">
        <v>13</v>
      </c>
      <c r="G237" s="8" t="s">
        <v>352</v>
      </c>
      <c r="H237" s="6" t="s">
        <v>353</v>
      </c>
      <c r="J237" s="21" t="str">
        <f t="shared" si="7"/>
        <v>NtrAntaly236.PQTC.18.03.26</v>
      </c>
      <c r="L237" s="19" t="str">
        <f t="shared" si="8"/>
        <v>236 NtrAntaly236.PQTC.18.03.26 Анталья крепость Аланья</v>
      </c>
    </row>
    <row r="238" spans="1:12">
      <c r="A238" s="5">
        <v>237</v>
      </c>
      <c r="C238" s="19" t="s">
        <v>10</v>
      </c>
      <c r="D238" s="20" t="s">
        <v>338</v>
      </c>
      <c r="E238" s="6" t="str">
        <f t="shared" si="6"/>
        <v>237.</v>
      </c>
      <c r="F238" s="19" t="s">
        <v>13</v>
      </c>
      <c r="G238" s="8" t="s">
        <v>352</v>
      </c>
      <c r="H238" s="6" t="s">
        <v>354</v>
      </c>
      <c r="J238" s="21" t="str">
        <f t="shared" si="7"/>
        <v>NtrAntaly237.PQTC.18.03.26</v>
      </c>
      <c r="L238" s="19" t="str">
        <f t="shared" si="8"/>
        <v>237 NtrAntaly237.PQTC.18.03.26 Анталья Делик-Дениз</v>
      </c>
    </row>
    <row r="239" spans="1:12">
      <c r="A239" s="5">
        <v>238</v>
      </c>
      <c r="C239" s="19" t="s">
        <v>10</v>
      </c>
      <c r="D239" s="20" t="s">
        <v>338</v>
      </c>
      <c r="E239" s="6" t="str">
        <f t="shared" si="6"/>
        <v>238.</v>
      </c>
      <c r="F239" s="19" t="s">
        <v>13</v>
      </c>
      <c r="G239" s="8" t="s">
        <v>352</v>
      </c>
      <c r="H239" s="6" t="s">
        <v>351</v>
      </c>
      <c r="J239" s="21" t="str">
        <f t="shared" si="7"/>
        <v>NtrAntaly238.PQTC.18.03.26</v>
      </c>
      <c r="L239" s="19" t="str">
        <f t="shared" si="8"/>
        <v>238 NtrAntaly238.PQTC.18.03.26 Анталья порт Калеичи</v>
      </c>
    </row>
    <row r="240" spans="1:12">
      <c r="A240" s="5">
        <v>239</v>
      </c>
      <c r="C240" s="19" t="s">
        <v>10</v>
      </c>
      <c r="D240" s="20" t="s">
        <v>338</v>
      </c>
      <c r="E240" s="6" t="str">
        <f t="shared" si="6"/>
        <v>239.</v>
      </c>
      <c r="F240" s="19" t="s">
        <v>13</v>
      </c>
      <c r="G240" s="8" t="s">
        <v>352</v>
      </c>
      <c r="H240" s="6" t="s">
        <v>355</v>
      </c>
      <c r="J240" s="21" t="str">
        <f t="shared" si="7"/>
        <v>NtrAntaly239.PQTC.18.03.26</v>
      </c>
      <c r="L240" s="19" t="str">
        <f t="shared" si="8"/>
        <v>239 NtrAntaly239.PQTC.18.03.26 Анталья </v>
      </c>
    </row>
    <row r="241" spans="1:12">
      <c r="A241" s="5">
        <v>240</v>
      </c>
      <c r="C241" s="19" t="s">
        <v>10</v>
      </c>
      <c r="D241" s="20" t="s">
        <v>338</v>
      </c>
      <c r="E241" s="6" t="str">
        <f t="shared" si="6"/>
        <v>240.</v>
      </c>
      <c r="F241" s="19" t="s">
        <v>13</v>
      </c>
      <c r="G241" s="8" t="s">
        <v>352</v>
      </c>
      <c r="H241" s="6" t="s">
        <v>351</v>
      </c>
      <c r="J241" s="21" t="str">
        <f t="shared" si="7"/>
        <v>NtrAntaly240.PQTC.18.03.26</v>
      </c>
      <c r="L241" s="19" t="str">
        <f t="shared" si="8"/>
        <v>240 NtrAntaly240.PQTC.18.03.26 Анталья порт Калеичи</v>
      </c>
    </row>
    <row r="242" spans="1:12">
      <c r="A242" s="5">
        <v>241</v>
      </c>
      <c r="C242" s="19" t="s">
        <v>10</v>
      </c>
      <c r="D242" s="20" t="s">
        <v>338</v>
      </c>
      <c r="E242" s="6" t="str">
        <f t="shared" si="6"/>
        <v>241.</v>
      </c>
      <c r="F242" s="19" t="s">
        <v>13</v>
      </c>
      <c r="G242" s="8" t="s">
        <v>352</v>
      </c>
      <c r="H242" s="6" t="s">
        <v>351</v>
      </c>
      <c r="J242" s="21" t="str">
        <f t="shared" si="7"/>
        <v>NtrAntaly241.PQTC.18.03.26</v>
      </c>
      <c r="L242" s="19" t="str">
        <f t="shared" si="8"/>
        <v>241 NtrAntaly241.PQTC.18.03.26 Анталья порт Калеичи</v>
      </c>
    </row>
    <row r="243" spans="1:12">
      <c r="A243" s="5">
        <v>242</v>
      </c>
      <c r="C243" s="19" t="s">
        <v>10</v>
      </c>
      <c r="D243" s="20" t="s">
        <v>338</v>
      </c>
      <c r="E243" s="6" t="str">
        <f t="shared" si="6"/>
        <v>242.</v>
      </c>
      <c r="F243" s="19" t="s">
        <v>13</v>
      </c>
      <c r="G243" s="8" t="s">
        <v>352</v>
      </c>
      <c r="H243" s="6" t="s">
        <v>356</v>
      </c>
      <c r="J243" s="21" t="str">
        <f t="shared" si="7"/>
        <v>NtrAntaly242.PQTC.18.03.26</v>
      </c>
      <c r="L243" s="19" t="str">
        <f t="shared" si="8"/>
        <v>242 NtrAntaly242.PQTC.18.03.26 Анталья пейзаж</v>
      </c>
    </row>
    <row r="244" spans="1:12">
      <c r="A244" s="5">
        <v>243</v>
      </c>
      <c r="C244" s="19" t="s">
        <v>10</v>
      </c>
      <c r="D244" s="20" t="s">
        <v>338</v>
      </c>
      <c r="E244" s="6" t="str">
        <f t="shared" si="6"/>
        <v>243.</v>
      </c>
      <c r="F244" s="19" t="s">
        <v>13</v>
      </c>
      <c r="G244" s="8" t="s">
        <v>357</v>
      </c>
      <c r="H244" s="6" t="s">
        <v>358</v>
      </c>
      <c r="J244" s="21" t="str">
        <f t="shared" si="7"/>
        <v>NtrAntaly243.PQTC.20.03.26</v>
      </c>
      <c r="L244" s="19" t="str">
        <f t="shared" si="8"/>
        <v>243 NtrAntaly243.PQTC.20.03.26 Анталья Перге</v>
      </c>
    </row>
    <row r="245" spans="1:12">
      <c r="A245" s="5">
        <v>244</v>
      </c>
      <c r="C245" s="19" t="s">
        <v>10</v>
      </c>
      <c r="D245" s="20" t="s">
        <v>338</v>
      </c>
      <c r="E245" s="6" t="str">
        <f t="shared" si="6"/>
        <v>244.</v>
      </c>
      <c r="F245" s="19" t="s">
        <v>13</v>
      </c>
      <c r="G245" s="8" t="s">
        <v>357</v>
      </c>
      <c r="H245" s="6" t="s">
        <v>359</v>
      </c>
      <c r="J245" s="21" t="str">
        <f t="shared" si="7"/>
        <v>NtrAntaly244.PQTC.20.03.26</v>
      </c>
      <c r="L245" s="19" t="str">
        <f t="shared" si="8"/>
        <v>244 NtrAntaly244.PQTC.20.03.26 Анталья Фаселис</v>
      </c>
    </row>
    <row r="246" spans="1:12">
      <c r="A246" s="5">
        <v>245</v>
      </c>
      <c r="C246" s="19" t="s">
        <v>10</v>
      </c>
      <c r="D246" s="20" t="s">
        <v>338</v>
      </c>
      <c r="E246" s="6" t="str">
        <f t="shared" si="6"/>
        <v>245.</v>
      </c>
      <c r="F246" s="19" t="s">
        <v>13</v>
      </c>
      <c r="G246" s="8" t="s">
        <v>357</v>
      </c>
      <c r="H246" s="6" t="s">
        <v>358</v>
      </c>
      <c r="J246" s="21" t="str">
        <f t="shared" si="7"/>
        <v>NtrAntaly245.PQTC.20.03.26</v>
      </c>
      <c r="L246" s="19" t="str">
        <f t="shared" si="8"/>
        <v>245 NtrAntaly245.PQTC.20.03.26 Анталья Перге</v>
      </c>
    </row>
    <row r="247" spans="1:12">
      <c r="A247" s="5">
        <v>246</v>
      </c>
      <c r="C247" s="19" t="s">
        <v>10</v>
      </c>
      <c r="D247" s="20" t="s">
        <v>338</v>
      </c>
      <c r="E247" s="6" t="str">
        <f t="shared" si="6"/>
        <v>246.</v>
      </c>
      <c r="F247" s="19" t="s">
        <v>13</v>
      </c>
      <c r="G247" s="8" t="s">
        <v>357</v>
      </c>
      <c r="H247" s="6" t="s">
        <v>358</v>
      </c>
      <c r="J247" s="21" t="str">
        <f t="shared" si="7"/>
        <v>NtrAntaly246.PQTC.20.03.26</v>
      </c>
      <c r="L247" s="19" t="str">
        <f t="shared" si="8"/>
        <v>246 NtrAntaly246.PQTC.20.03.26 Анталья Перге</v>
      </c>
    </row>
    <row r="248" spans="1:12">
      <c r="A248" s="5">
        <v>247</v>
      </c>
      <c r="C248" s="19" t="s">
        <v>10</v>
      </c>
      <c r="D248" s="20" t="s">
        <v>338</v>
      </c>
      <c r="E248" s="6" t="str">
        <f t="shared" si="6"/>
        <v>247.</v>
      </c>
      <c r="F248" s="19" t="s">
        <v>13</v>
      </c>
      <c r="G248" s="8" t="s">
        <v>357</v>
      </c>
      <c r="H248" s="6" t="s">
        <v>345</v>
      </c>
      <c r="J248" s="21" t="str">
        <f t="shared" si="7"/>
        <v>NtrAntaly247.PQTC.20.03.26</v>
      </c>
      <c r="L248" s="19" t="str">
        <f t="shared" si="8"/>
        <v>247 NtrAntaly247.PQTC.20.03.26 Анталья минарет Кесик</v>
      </c>
    </row>
    <row r="249" spans="1:12">
      <c r="A249" s="5">
        <v>248</v>
      </c>
      <c r="C249" s="19" t="s">
        <v>10</v>
      </c>
      <c r="D249" s="20" t="s">
        <v>338</v>
      </c>
      <c r="E249" s="6" t="str">
        <f t="shared" si="6"/>
        <v>248.</v>
      </c>
      <c r="F249" s="19" t="s">
        <v>13</v>
      </c>
      <c r="G249" s="8" t="s">
        <v>357</v>
      </c>
      <c r="H249" s="6" t="s">
        <v>345</v>
      </c>
      <c r="J249" s="21" t="str">
        <f t="shared" si="7"/>
        <v>NtrAntaly248.PQTC.20.03.26</v>
      </c>
      <c r="L249" s="19" t="str">
        <f t="shared" si="8"/>
        <v>248 NtrAntaly248.PQTC.20.03.26 Анталья минарет Кесик</v>
      </c>
    </row>
    <row r="250" spans="1:12">
      <c r="A250" s="5">
        <v>249</v>
      </c>
      <c r="C250" s="19" t="s">
        <v>10</v>
      </c>
      <c r="D250" s="20" t="s">
        <v>338</v>
      </c>
      <c r="E250" s="6" t="str">
        <f t="shared" si="6"/>
        <v>249.</v>
      </c>
      <c r="F250" s="19" t="s">
        <v>13</v>
      </c>
      <c r="G250" s="8" t="s">
        <v>357</v>
      </c>
      <c r="H250" s="6" t="s">
        <v>360</v>
      </c>
      <c r="J250" s="21" t="str">
        <f t="shared" si="7"/>
        <v>NtrAntaly249.PQTC.20.03.26</v>
      </c>
      <c r="L250" s="19" t="str">
        <f t="shared" si="8"/>
        <v>249 NtrAntaly249.PQTC.20.03.26 Анталья Аспендос</v>
      </c>
    </row>
    <row r="251" spans="1:12">
      <c r="A251" s="5">
        <v>250</v>
      </c>
      <c r="C251" s="19" t="s">
        <v>10</v>
      </c>
      <c r="D251" s="20" t="s">
        <v>338</v>
      </c>
      <c r="E251" s="6" t="str">
        <f t="shared" si="6"/>
        <v>250.</v>
      </c>
      <c r="F251" s="19" t="s">
        <v>13</v>
      </c>
      <c r="G251" s="8" t="s">
        <v>357</v>
      </c>
      <c r="H251" s="6" t="s">
        <v>361</v>
      </c>
      <c r="J251" s="21" t="str">
        <f t="shared" si="7"/>
        <v>NtrAntaly250.PQTC.20.03.26</v>
      </c>
      <c r="L251" s="19" t="str">
        <f t="shared" si="8"/>
        <v>250 NtrAntaly250.PQTC.20.03.26 Анталья античный театр Сиде</v>
      </c>
    </row>
    <row r="252" spans="1:12">
      <c r="A252" s="5">
        <v>251</v>
      </c>
      <c r="C252" s="19" t="s">
        <v>10</v>
      </c>
      <c r="D252" s="20" t="s">
        <v>338</v>
      </c>
      <c r="E252" s="6" t="str">
        <f t="shared" ref="E252:E315" si="9">A252&amp;"."</f>
        <v>251.</v>
      </c>
      <c r="F252" s="19" t="s">
        <v>13</v>
      </c>
      <c r="G252" s="8" t="s">
        <v>357</v>
      </c>
      <c r="H252" s="6" t="s">
        <v>359</v>
      </c>
      <c r="J252" s="21" t="str">
        <f t="shared" si="7"/>
        <v>NtrAntaly251.PQTC.20.03.26</v>
      </c>
      <c r="L252" s="19" t="str">
        <f t="shared" si="8"/>
        <v>251 NtrAntaly251.PQTC.20.03.26 Анталья Фаселис</v>
      </c>
    </row>
    <row r="253" spans="1:12">
      <c r="A253" s="5">
        <v>252</v>
      </c>
      <c r="C253" s="19" t="s">
        <v>10</v>
      </c>
      <c r="D253" s="20" t="s">
        <v>338</v>
      </c>
      <c r="E253" s="6" t="str">
        <f t="shared" si="9"/>
        <v>252.</v>
      </c>
      <c r="F253" s="19" t="s">
        <v>13</v>
      </c>
      <c r="G253" s="8" t="s">
        <v>357</v>
      </c>
      <c r="H253" s="6" t="s">
        <v>358</v>
      </c>
      <c r="J253" s="21" t="str">
        <f t="shared" si="7"/>
        <v>NtrAntaly252.PQTC.20.03.26</v>
      </c>
      <c r="L253" s="19" t="str">
        <f t="shared" si="8"/>
        <v>252 NtrAntaly252.PQTC.20.03.26 Анталья Перге</v>
      </c>
    </row>
    <row r="254" spans="1:12">
      <c r="A254" s="5">
        <v>253</v>
      </c>
      <c r="C254" s="19" t="s">
        <v>10</v>
      </c>
      <c r="D254" s="20" t="s">
        <v>338</v>
      </c>
      <c r="E254" s="6" t="str">
        <f t="shared" si="9"/>
        <v>253.</v>
      </c>
      <c r="F254" s="19" t="s">
        <v>13</v>
      </c>
      <c r="G254" s="8" t="s">
        <v>357</v>
      </c>
      <c r="H254" s="6" t="s">
        <v>359</v>
      </c>
      <c r="J254" s="21" t="str">
        <f t="shared" si="7"/>
        <v>NtrAntaly253.PQTC.20.03.26</v>
      </c>
      <c r="L254" s="19" t="str">
        <f t="shared" si="8"/>
        <v>253 NtrAntaly253.PQTC.20.03.26 Анталья Фаселис</v>
      </c>
    </row>
    <row r="255" spans="1:12">
      <c r="A255" s="5">
        <v>254</v>
      </c>
      <c r="C255" s="19" t="s">
        <v>10</v>
      </c>
      <c r="D255" s="20" t="s">
        <v>338</v>
      </c>
      <c r="E255" s="6" t="str">
        <f t="shared" si="9"/>
        <v>254.</v>
      </c>
      <c r="F255" s="19" t="s">
        <v>13</v>
      </c>
      <c r="G255" s="8" t="s">
        <v>362</v>
      </c>
      <c r="H255" s="6" t="s">
        <v>359</v>
      </c>
      <c r="J255" s="21" t="str">
        <f t="shared" si="7"/>
        <v>NtrAntaly254.PQTC.21.03.26</v>
      </c>
      <c r="L255" s="19" t="str">
        <f t="shared" si="8"/>
        <v>254 NtrAntaly254.PQTC.21.03.26 Анталья Фаселис</v>
      </c>
    </row>
    <row r="256" spans="1:12">
      <c r="A256" s="5">
        <v>255</v>
      </c>
      <c r="C256" s="19" t="s">
        <v>10</v>
      </c>
      <c r="D256" s="20" t="s">
        <v>338</v>
      </c>
      <c r="E256" s="6" t="str">
        <f t="shared" si="9"/>
        <v>255.</v>
      </c>
      <c r="F256" s="19" t="s">
        <v>13</v>
      </c>
      <c r="G256" s="8" t="s">
        <v>362</v>
      </c>
      <c r="H256" s="6" t="s">
        <v>358</v>
      </c>
      <c r="J256" s="21" t="str">
        <f t="shared" si="7"/>
        <v>NtrAntaly255.PQTC.21.03.26</v>
      </c>
      <c r="L256" s="19" t="str">
        <f t="shared" si="8"/>
        <v>255 NtrAntaly255.PQTC.21.03.26 Анталья Перге</v>
      </c>
    </row>
    <row r="257" spans="1:12">
      <c r="A257" s="5">
        <v>256</v>
      </c>
      <c r="C257" s="19" t="s">
        <v>10</v>
      </c>
      <c r="D257" s="20" t="s">
        <v>338</v>
      </c>
      <c r="E257" s="6" t="str">
        <f t="shared" si="9"/>
        <v>256.</v>
      </c>
      <c r="F257" s="19" t="s">
        <v>13</v>
      </c>
      <c r="G257" s="8" t="s">
        <v>362</v>
      </c>
      <c r="H257" s="6" t="s">
        <v>358</v>
      </c>
      <c r="J257" s="21" t="str">
        <f t="shared" si="7"/>
        <v>NtrAntaly256.PQTC.21.03.26</v>
      </c>
      <c r="L257" s="19" t="str">
        <f t="shared" si="8"/>
        <v>256 NtrAntaly256.PQTC.21.03.26 Анталья Перге</v>
      </c>
    </row>
    <row r="258" spans="1:12">
      <c r="A258" s="5">
        <v>257</v>
      </c>
      <c r="C258" s="19" t="s">
        <v>10</v>
      </c>
      <c r="D258" s="20" t="s">
        <v>338</v>
      </c>
      <c r="E258" s="6" t="str">
        <f t="shared" si="9"/>
        <v>257.</v>
      </c>
      <c r="F258" s="19" t="s">
        <v>13</v>
      </c>
      <c r="G258" s="8" t="s">
        <v>362</v>
      </c>
      <c r="H258" s="6" t="s">
        <v>363</v>
      </c>
      <c r="J258" s="21" t="str">
        <f t="shared" ref="J258:J321" si="10">C258&amp;D258&amp;E258&amp;F258&amp;G258</f>
        <v>NtrAntaly257.PQTC.21.03.26</v>
      </c>
      <c r="L258" s="19" t="str">
        <f t="shared" ref="L258:L321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19" t="s">
        <v>10</v>
      </c>
      <c r="D259" s="20" t="s">
        <v>338</v>
      </c>
      <c r="E259" s="6" t="str">
        <f t="shared" si="9"/>
        <v>258.</v>
      </c>
      <c r="F259" s="19" t="s">
        <v>13</v>
      </c>
      <c r="G259" s="8" t="s">
        <v>362</v>
      </c>
      <c r="H259" s="6" t="s">
        <v>364</v>
      </c>
      <c r="J259" s="21" t="str">
        <f t="shared" si="10"/>
        <v>NtrAntaly258.PQTC.21.03.26</v>
      </c>
      <c r="L259" s="19" t="str">
        <f t="shared" si="11"/>
        <v>258 NtrAntaly258.PQTC.21.03.26 Анталья Сиде</v>
      </c>
    </row>
    <row r="260" spans="1:12">
      <c r="A260" s="5">
        <v>259</v>
      </c>
      <c r="C260" s="19" t="s">
        <v>10</v>
      </c>
      <c r="D260" s="20" t="s">
        <v>338</v>
      </c>
      <c r="E260" s="6" t="str">
        <f t="shared" si="9"/>
        <v>259.</v>
      </c>
      <c r="F260" s="19" t="s">
        <v>13</v>
      </c>
      <c r="G260" s="8" t="s">
        <v>362</v>
      </c>
      <c r="H260" s="6" t="s">
        <v>358</v>
      </c>
      <c r="J260" s="21" t="str">
        <f t="shared" si="10"/>
        <v>NtrAntaly259.PQTC.21.03.26</v>
      </c>
      <c r="L260" s="19" t="str">
        <f t="shared" si="11"/>
        <v>259 NtrAntaly259.PQTC.21.03.26 Анталья Перге</v>
      </c>
    </row>
    <row r="261" spans="1:12">
      <c r="A261" s="5">
        <v>260</v>
      </c>
      <c r="C261" s="19" t="s">
        <v>10</v>
      </c>
      <c r="D261" s="20" t="s">
        <v>338</v>
      </c>
      <c r="E261" s="6" t="str">
        <f t="shared" si="9"/>
        <v>260.</v>
      </c>
      <c r="F261" s="19" t="s">
        <v>13</v>
      </c>
      <c r="G261" s="8" t="s">
        <v>362</v>
      </c>
      <c r="H261" s="6" t="s">
        <v>360</v>
      </c>
      <c r="J261" s="21" t="str">
        <f t="shared" si="10"/>
        <v>NtrAntaly260.PQTC.21.03.26</v>
      </c>
      <c r="L261" s="19" t="str">
        <f t="shared" si="11"/>
        <v>260 NtrAntaly260.PQTC.21.03.26 Анталья Аспендос</v>
      </c>
    </row>
    <row r="262" spans="1:12">
      <c r="A262" s="5">
        <v>261</v>
      </c>
      <c r="C262" s="19" t="s">
        <v>10</v>
      </c>
      <c r="D262" s="20" t="s">
        <v>338</v>
      </c>
      <c r="E262" s="6" t="str">
        <f t="shared" si="9"/>
        <v>261.</v>
      </c>
      <c r="F262" s="19" t="s">
        <v>13</v>
      </c>
      <c r="G262" s="8" t="s">
        <v>362</v>
      </c>
      <c r="H262" s="6" t="s">
        <v>360</v>
      </c>
      <c r="J262" s="21" t="str">
        <f t="shared" si="10"/>
        <v>NtrAntaly261.PQTC.21.03.26</v>
      </c>
      <c r="L262" s="19" t="str">
        <f t="shared" si="11"/>
        <v>261 NtrAntaly261.PQTC.21.03.26 Анталья Аспендос</v>
      </c>
    </row>
    <row r="263" spans="1:12">
      <c r="A263" s="5">
        <v>262</v>
      </c>
      <c r="C263" s="19" t="s">
        <v>10</v>
      </c>
      <c r="D263" s="20" t="s">
        <v>338</v>
      </c>
      <c r="E263" s="6" t="str">
        <f t="shared" si="9"/>
        <v>262.</v>
      </c>
      <c r="F263" s="19" t="s">
        <v>13</v>
      </c>
      <c r="G263" s="8" t="s">
        <v>362</v>
      </c>
      <c r="H263" s="6" t="s">
        <v>359</v>
      </c>
      <c r="J263" s="21" t="str">
        <f t="shared" si="10"/>
        <v>NtrAntaly262.PQTC.21.03.26</v>
      </c>
      <c r="L263" s="19" t="str">
        <f t="shared" si="11"/>
        <v>262 NtrAntaly262.PQTC.21.03.26 Анталья Фаселис</v>
      </c>
    </row>
    <row r="264" spans="1:12">
      <c r="A264" s="5">
        <v>263</v>
      </c>
      <c r="C264" s="19" t="s">
        <v>10</v>
      </c>
      <c r="D264" s="20" t="s">
        <v>338</v>
      </c>
      <c r="E264" s="6" t="str">
        <f t="shared" si="9"/>
        <v>263.</v>
      </c>
      <c r="F264" s="19" t="s">
        <v>13</v>
      </c>
      <c r="G264" s="8" t="s">
        <v>362</v>
      </c>
      <c r="H264" s="6" t="s">
        <v>364</v>
      </c>
      <c r="J264" s="21" t="str">
        <f t="shared" si="10"/>
        <v>NtrAntaly263.PQTC.21.03.26</v>
      </c>
      <c r="L264" s="19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 t="shared" si="9"/>
        <v>264.</v>
      </c>
      <c r="F265" s="19" t="s">
        <v>13</v>
      </c>
      <c r="G265" s="8" t="s">
        <v>365</v>
      </c>
      <c r="H265" s="6" t="s">
        <v>366</v>
      </c>
      <c r="J265" s="21" t="str">
        <f t="shared" si="10"/>
        <v>CupDBDGam264.PQTC.24.03.26</v>
      </c>
      <c r="L265" s="19" t="str">
        <f t="shared" si="11"/>
        <v>264 CupDBDGam264.PQTC.24.03.26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 t="shared" si="9"/>
        <v>265.</v>
      </c>
      <c r="F266" s="19" t="s">
        <v>13</v>
      </c>
      <c r="G266" s="8" t="s">
        <v>365</v>
      </c>
      <c r="H266" s="6" t="s">
        <v>367</v>
      </c>
      <c r="J266" s="21" t="str">
        <f t="shared" si="10"/>
        <v>CupDBDGam265.PQTC.24.03.26</v>
      </c>
      <c r="L266" s="19" t="str">
        <f t="shared" si="11"/>
        <v>265 CupDBDGam265.PQTC.24.03.26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 t="shared" si="9"/>
        <v>266.</v>
      </c>
      <c r="F267" s="19" t="s">
        <v>13</v>
      </c>
      <c r="G267" s="8" t="s">
        <v>365</v>
      </c>
      <c r="H267" s="6" t="s">
        <v>368</v>
      </c>
      <c r="J267" s="21" t="str">
        <f t="shared" si="10"/>
        <v>CupDBDGam266.PQTC.24.03.26</v>
      </c>
      <c r="L267" s="19" t="str">
        <f t="shared" si="11"/>
        <v>266 CupDBDGam266.PQTC.24.03.26 DBD Resident Evil: PROJECT W</v>
      </c>
    </row>
    <row r="268" spans="1:12">
      <c r="A268" s="5">
        <v>267</v>
      </c>
      <c r="C268" s="19" t="s">
        <v>10</v>
      </c>
      <c r="D268" s="20" t="s">
        <v>338</v>
      </c>
      <c r="E268" s="6" t="str">
        <f t="shared" si="9"/>
        <v>267.</v>
      </c>
      <c r="F268" s="19" t="s">
        <v>13</v>
      </c>
      <c r="G268" s="8" t="s">
        <v>369</v>
      </c>
      <c r="H268" s="6" t="s">
        <v>370</v>
      </c>
      <c r="J268" s="21" t="str">
        <f t="shared" si="10"/>
        <v>NtrAntaly267.PQTC.22.03.26</v>
      </c>
      <c r="L268" s="19" t="str">
        <f t="shared" si="11"/>
        <v>267 NtrAntaly267.PQTC.22.03.26 Анталья Аланья</v>
      </c>
    </row>
    <row r="269" spans="1:12">
      <c r="A269" s="5">
        <v>268</v>
      </c>
      <c r="C269" s="19" t="s">
        <v>10</v>
      </c>
      <c r="D269" s="20" t="s">
        <v>338</v>
      </c>
      <c r="E269" s="6" t="str">
        <f t="shared" si="9"/>
        <v>268.</v>
      </c>
      <c r="F269" s="19" t="s">
        <v>13</v>
      </c>
      <c r="G269" s="8" t="s">
        <v>369</v>
      </c>
      <c r="H269" s="6" t="s">
        <v>364</v>
      </c>
      <c r="J269" s="21" t="str">
        <f t="shared" si="10"/>
        <v>NtrAntaly268.PQTC.22.03.26</v>
      </c>
      <c r="L269" s="19" t="str">
        <f t="shared" si="11"/>
        <v>268 NtrAntaly268.PQTC.22.03.26 Анталья Сиде</v>
      </c>
    </row>
    <row r="270" spans="1:12">
      <c r="A270" s="5">
        <v>269</v>
      </c>
      <c r="C270" s="19" t="s">
        <v>10</v>
      </c>
      <c r="D270" s="20" t="s">
        <v>338</v>
      </c>
      <c r="E270" s="6" t="str">
        <f t="shared" si="9"/>
        <v>269.</v>
      </c>
      <c r="F270" s="19" t="s">
        <v>13</v>
      </c>
      <c r="G270" s="8" t="s">
        <v>369</v>
      </c>
      <c r="H270" s="6" t="s">
        <v>358</v>
      </c>
      <c r="J270" s="21" t="str">
        <f t="shared" si="10"/>
        <v>NtrAntaly269.PQTC.22.03.26</v>
      </c>
      <c r="L270" s="19" t="str">
        <f t="shared" si="11"/>
        <v>269 NtrAntaly269.PQTC.22.03.26 Анталья Перге</v>
      </c>
    </row>
    <row r="271" spans="1:12">
      <c r="A271" s="5">
        <v>270</v>
      </c>
      <c r="C271" s="19" t="s">
        <v>10</v>
      </c>
      <c r="D271" s="20" t="s">
        <v>338</v>
      </c>
      <c r="E271" s="6" t="str">
        <f t="shared" si="9"/>
        <v>270.</v>
      </c>
      <c r="F271" s="19" t="s">
        <v>13</v>
      </c>
      <c r="G271" s="8" t="s">
        <v>369</v>
      </c>
      <c r="H271" s="6" t="s">
        <v>360</v>
      </c>
      <c r="J271" s="21" t="str">
        <f t="shared" si="10"/>
        <v>NtrAntaly270.PQTC.22.03.26</v>
      </c>
      <c r="L271" s="19" t="str">
        <f t="shared" si="11"/>
        <v>270 NtrAntaly270.PQTC.22.03.26 Анталья Аспендос</v>
      </c>
    </row>
    <row r="272" spans="1:12">
      <c r="A272" s="5">
        <v>271</v>
      </c>
      <c r="C272" s="19" t="s">
        <v>10</v>
      </c>
      <c r="D272" s="20" t="s">
        <v>338</v>
      </c>
      <c r="E272" s="6" t="str">
        <f t="shared" si="9"/>
        <v>271.</v>
      </c>
      <c r="F272" s="19" t="s">
        <v>13</v>
      </c>
      <c r="G272" s="8" t="s">
        <v>369</v>
      </c>
      <c r="H272" s="6" t="s">
        <v>359</v>
      </c>
      <c r="J272" s="21" t="str">
        <f t="shared" si="10"/>
        <v>NtrAntaly271.PQTC.22.03.26</v>
      </c>
      <c r="L272" s="19" t="str">
        <f t="shared" si="11"/>
        <v>271 NtrAntaly271.PQTC.22.03.26 Анталья Фаселис</v>
      </c>
    </row>
    <row r="273" spans="1:12">
      <c r="A273" s="5">
        <v>272</v>
      </c>
      <c r="C273" s="19" t="s">
        <v>10</v>
      </c>
      <c r="D273" s="20" t="s">
        <v>338</v>
      </c>
      <c r="E273" s="6" t="str">
        <f t="shared" si="9"/>
        <v>272.</v>
      </c>
      <c r="F273" s="19" t="s">
        <v>13</v>
      </c>
      <c r="G273" s="8" t="s">
        <v>369</v>
      </c>
      <c r="H273" s="6" t="s">
        <v>359</v>
      </c>
      <c r="J273" s="21" t="str">
        <f t="shared" si="10"/>
        <v>NtrAntaly272.PQTC.22.03.26</v>
      </c>
      <c r="L273" s="19" t="str">
        <f t="shared" si="11"/>
        <v>272 NtrAntaly272.PQTC.22.03.26 Анталья Фаселис</v>
      </c>
    </row>
    <row r="274" spans="1:12">
      <c r="A274" s="5">
        <v>273</v>
      </c>
      <c r="C274" s="19" t="s">
        <v>10</v>
      </c>
      <c r="D274" s="20" t="s">
        <v>338</v>
      </c>
      <c r="E274" s="6" t="str">
        <f t="shared" si="9"/>
        <v>273.</v>
      </c>
      <c r="F274" s="19" t="s">
        <v>13</v>
      </c>
      <c r="G274" s="8" t="s">
        <v>369</v>
      </c>
      <c r="H274" s="6" t="s">
        <v>363</v>
      </c>
      <c r="J274" s="21" t="str">
        <f t="shared" si="10"/>
        <v>NtrAntaly273.PQTC.22.03.26</v>
      </c>
      <c r="L274" s="19" t="str">
        <f t="shared" si="11"/>
        <v>273 NtrAntaly273.PQTC.22.03.26 Анталья храм Аполлона Сиде</v>
      </c>
    </row>
    <row r="275" spans="1:12">
      <c r="A275" s="5">
        <v>274</v>
      </c>
      <c r="C275" s="19" t="s">
        <v>10</v>
      </c>
      <c r="D275" s="20" t="s">
        <v>338</v>
      </c>
      <c r="E275" s="6" t="str">
        <f t="shared" si="9"/>
        <v>274.</v>
      </c>
      <c r="F275" s="19" t="s">
        <v>13</v>
      </c>
      <c r="G275" s="8" t="s">
        <v>369</v>
      </c>
      <c r="H275" s="6" t="s">
        <v>358</v>
      </c>
      <c r="J275" s="21" t="str">
        <f t="shared" si="10"/>
        <v>NtrAntaly274.PQTC.22.03.26</v>
      </c>
      <c r="L275" s="19" t="str">
        <f t="shared" si="11"/>
        <v>274 NtrAntaly274.PQTC.22.03.26 Анталья Перге</v>
      </c>
    </row>
    <row r="276" spans="1:12">
      <c r="A276" s="5">
        <v>275</v>
      </c>
      <c r="C276" s="19" t="s">
        <v>10</v>
      </c>
      <c r="D276" s="20" t="s">
        <v>338</v>
      </c>
      <c r="E276" s="6" t="str">
        <f t="shared" si="9"/>
        <v>275.</v>
      </c>
      <c r="F276" s="19" t="s">
        <v>13</v>
      </c>
      <c r="G276" s="8" t="s">
        <v>369</v>
      </c>
      <c r="H276" s="6" t="s">
        <v>359</v>
      </c>
      <c r="J276" s="21" t="str">
        <f t="shared" si="10"/>
        <v>NtrAntaly275.PQTC.22.03.26</v>
      </c>
      <c r="L276" s="19" t="str">
        <f t="shared" si="11"/>
        <v>275 NtrAntaly275.PQTC.22.03.26 Анталья Фаселис</v>
      </c>
    </row>
    <row r="277" spans="1:12">
      <c r="A277" s="5">
        <v>276</v>
      </c>
      <c r="C277" s="19" t="s">
        <v>10</v>
      </c>
      <c r="D277" s="20" t="s">
        <v>338</v>
      </c>
      <c r="E277" s="6" t="str">
        <f t="shared" si="9"/>
        <v>276.</v>
      </c>
      <c r="F277" s="19" t="s">
        <v>13</v>
      </c>
      <c r="G277" s="8" t="s">
        <v>369</v>
      </c>
      <c r="H277" s="6" t="s">
        <v>360</v>
      </c>
      <c r="J277" s="21" t="str">
        <f t="shared" si="10"/>
        <v>NtrAntaly276.PQTC.22.03.26</v>
      </c>
      <c r="L277" s="19" t="str">
        <f t="shared" si="11"/>
        <v>276 NtrAntaly276.PQTC.22.03.26 Анталья Аспендос</v>
      </c>
    </row>
    <row r="278" spans="1:12">
      <c r="A278" s="5">
        <v>277</v>
      </c>
      <c r="C278" s="19" t="s">
        <v>10</v>
      </c>
      <c r="D278" s="20" t="s">
        <v>338</v>
      </c>
      <c r="E278" s="6" t="str">
        <f t="shared" si="9"/>
        <v>277.</v>
      </c>
      <c r="F278" s="19" t="s">
        <v>13</v>
      </c>
      <c r="G278" s="8" t="s">
        <v>369</v>
      </c>
      <c r="H278" s="6" t="s">
        <v>358</v>
      </c>
      <c r="J278" s="21" t="str">
        <f t="shared" si="10"/>
        <v>NtrAntaly277.PQTC.22.03.26</v>
      </c>
      <c r="L278" s="19" t="str">
        <f t="shared" si="11"/>
        <v>277 NtrAntaly277.PQTC.22.03.26 Анталья Перге</v>
      </c>
    </row>
    <row r="279" spans="1:12">
      <c r="A279" s="5">
        <v>278</v>
      </c>
      <c r="C279" s="19" t="s">
        <v>10</v>
      </c>
      <c r="D279" s="20" t="s">
        <v>338</v>
      </c>
      <c r="E279" s="6" t="str">
        <f t="shared" si="9"/>
        <v>278.</v>
      </c>
      <c r="F279" s="19" t="s">
        <v>13</v>
      </c>
      <c r="G279" s="8" t="s">
        <v>369</v>
      </c>
      <c r="H279" s="6" t="s">
        <v>358</v>
      </c>
      <c r="J279" s="21" t="str">
        <f t="shared" si="10"/>
        <v>NtrAntaly278.PQTC.22.03.26</v>
      </c>
      <c r="L279" s="19" t="str">
        <f t="shared" si="11"/>
        <v>278 NtrAntaly278.PQTC.22.03.26 Анталья Перге</v>
      </c>
    </row>
    <row r="280" spans="1:12">
      <c r="A280" s="5">
        <v>279</v>
      </c>
      <c r="C280" s="19" t="s">
        <v>10</v>
      </c>
      <c r="D280" s="20" t="s">
        <v>338</v>
      </c>
      <c r="E280" s="6" t="str">
        <f t="shared" si="9"/>
        <v>279.</v>
      </c>
      <c r="F280" s="19" t="s">
        <v>13</v>
      </c>
      <c r="G280" s="8" t="s">
        <v>371</v>
      </c>
      <c r="H280" s="6" t="s">
        <v>372</v>
      </c>
      <c r="J280" s="21" t="str">
        <f t="shared" si="10"/>
        <v>NtrAntaly279.PQTC.25.03.26</v>
      </c>
      <c r="L280" s="19" t="str">
        <f t="shared" si="11"/>
        <v>279 NtrAntaly279.PQTC.25.03.26 Анталья Ликийские гробницы</v>
      </c>
    </row>
    <row r="281" spans="1:12">
      <c r="A281" s="5">
        <v>280</v>
      </c>
      <c r="C281" s="6" t="s">
        <v>40</v>
      </c>
      <c r="D281" s="7" t="s">
        <v>316</v>
      </c>
      <c r="E281" s="6" t="str">
        <f t="shared" si="9"/>
        <v>280.</v>
      </c>
      <c r="F281" s="19" t="s">
        <v>13</v>
      </c>
      <c r="G281" s="8" t="s">
        <v>365</v>
      </c>
      <c r="H281" s="6" t="s">
        <v>373</v>
      </c>
      <c r="J281" s="21" t="str">
        <f t="shared" si="10"/>
        <v>CupDBDGam280.PQTC.24.03.26</v>
      </c>
      <c r="L281" s="19" t="str">
        <f t="shared" si="11"/>
        <v>280 CupDBDGam280.PQTC.24.03.26 DBD Корни ужаса</v>
      </c>
    </row>
    <row r="282" spans="1:12">
      <c r="A282" s="5">
        <v>281</v>
      </c>
      <c r="C282" s="6" t="s">
        <v>40</v>
      </c>
      <c r="D282" s="7" t="s">
        <v>316</v>
      </c>
      <c r="E282" s="6" t="str">
        <f t="shared" si="9"/>
        <v>281.</v>
      </c>
      <c r="F282" s="19" t="s">
        <v>13</v>
      </c>
      <c r="G282" s="8" t="s">
        <v>365</v>
      </c>
      <c r="H282" s="6" t="s">
        <v>374</v>
      </c>
      <c r="J282" s="21" t="str">
        <f t="shared" si="10"/>
        <v>CupDBDGam281.PQTC.24.03.26</v>
      </c>
      <c r="L282" s="19" t="str">
        <f t="shared" si="11"/>
        <v>281 CupDBDGam281.PQTC.24.03.26 DBD Восход Садако</v>
      </c>
    </row>
    <row r="283" spans="1:12">
      <c r="A283" s="5">
        <v>282</v>
      </c>
      <c r="C283" s="6" t="s">
        <v>40</v>
      </c>
      <c r="D283" s="7" t="s">
        <v>316</v>
      </c>
      <c r="E283" s="6" t="str">
        <f t="shared" si="9"/>
        <v>282.</v>
      </c>
      <c r="F283" s="19" t="s">
        <v>13</v>
      </c>
      <c r="G283" s="8" t="s">
        <v>365</v>
      </c>
      <c r="H283" s="6" t="s">
        <v>375</v>
      </c>
      <c r="J283" s="21" t="str">
        <f t="shared" si="10"/>
        <v>CupDBDGam282.PQTC.24.03.26</v>
      </c>
      <c r="L283" s="19" t="str">
        <f t="shared" si="11"/>
        <v>282 CupDBDGam282.PQTC.24.03.26 DBD Resident Evil</v>
      </c>
    </row>
    <row r="284" spans="1:12">
      <c r="A284" s="5">
        <v>283</v>
      </c>
      <c r="C284" s="6" t="s">
        <v>40</v>
      </c>
      <c r="D284" s="7" t="s">
        <v>316</v>
      </c>
      <c r="E284" s="6" t="str">
        <f t="shared" si="9"/>
        <v>283.</v>
      </c>
      <c r="F284" s="19" t="s">
        <v>13</v>
      </c>
      <c r="G284" s="8" t="s">
        <v>365</v>
      </c>
      <c r="H284" s="6" t="s">
        <v>376</v>
      </c>
      <c r="J284" s="21" t="str">
        <f t="shared" si="10"/>
        <v>CupDBDGam283.PQTC.24.03.26</v>
      </c>
      <c r="L284" s="19" t="str">
        <f t="shared" si="11"/>
        <v>283 CupDBDGam283.PQTC.24.03.26 DBD Узы родства</v>
      </c>
    </row>
    <row r="285" spans="1:12">
      <c r="A285" s="5">
        <v>284</v>
      </c>
      <c r="C285" s="6" t="s">
        <v>40</v>
      </c>
      <c r="D285" s="7" t="s">
        <v>316</v>
      </c>
      <c r="E285" s="6" t="str">
        <f t="shared" si="9"/>
        <v>284.</v>
      </c>
      <c r="F285" s="19" t="s">
        <v>13</v>
      </c>
      <c r="G285" s="8" t="s">
        <v>365</v>
      </c>
      <c r="H285" s="6" t="s">
        <v>377</v>
      </c>
      <c r="J285" s="21" t="str">
        <f t="shared" si="10"/>
        <v>CupDBDGam284.PQTC.24.03.26</v>
      </c>
      <c r="L285" s="19" t="str">
        <f t="shared" si="11"/>
        <v>284 CupDBDGam284.PQTC.24.03.26 DBD Спуск в преисподнюю</v>
      </c>
    </row>
    <row r="286" spans="1:12">
      <c r="A286" s="5">
        <v>285</v>
      </c>
      <c r="C286" s="6" t="s">
        <v>40</v>
      </c>
      <c r="D286" s="7" t="s">
        <v>316</v>
      </c>
      <c r="E286" s="6" t="str">
        <f t="shared" si="9"/>
        <v>285.</v>
      </c>
      <c r="F286" s="19" t="s">
        <v>13</v>
      </c>
      <c r="G286" s="8" t="s">
        <v>365</v>
      </c>
      <c r="H286" s="6" t="s">
        <v>378</v>
      </c>
      <c r="J286" s="21" t="str">
        <f t="shared" si="10"/>
        <v>CupDBDGam285.PQTC.24.03.26</v>
      </c>
      <c r="L286" s="19" t="str">
        <f t="shared" si="11"/>
        <v>285 CupDBDGam285.PQTC.24.03.26 DBD Сайлент Хилл</v>
      </c>
    </row>
    <row r="287" spans="1:12">
      <c r="A287" s="5">
        <v>286</v>
      </c>
      <c r="C287" s="6" t="s">
        <v>40</v>
      </c>
      <c r="D287" s="7" t="s">
        <v>316</v>
      </c>
      <c r="E287" s="6" t="str">
        <f t="shared" si="9"/>
        <v>286.</v>
      </c>
      <c r="F287" s="19" t="s">
        <v>13</v>
      </c>
      <c r="G287" s="8" t="s">
        <v>365</v>
      </c>
      <c r="H287" s="6" t="s">
        <v>379</v>
      </c>
      <c r="J287" s="21" t="str">
        <f t="shared" si="10"/>
        <v>CupDBDGam286.PQTC.24.03.26</v>
      </c>
      <c r="L287" s="19" t="str">
        <f t="shared" si="11"/>
        <v>286 CupDBDGam286.PQTC.24.03.26 DBD Цепи ненависти</v>
      </c>
    </row>
    <row r="288" spans="1:12">
      <c r="A288" s="5">
        <v>287</v>
      </c>
      <c r="C288" s="6" t="s">
        <v>40</v>
      </c>
      <c r="D288" s="7" t="s">
        <v>316</v>
      </c>
      <c r="E288" s="6" t="str">
        <f t="shared" si="9"/>
        <v>287.</v>
      </c>
      <c r="F288" s="19" t="s">
        <v>13</v>
      </c>
      <c r="G288" s="8" t="s">
        <v>365</v>
      </c>
      <c r="H288" s="6" t="s">
        <v>380</v>
      </c>
      <c r="J288" s="21" t="str">
        <f t="shared" si="10"/>
        <v>CupDBDGam287.PQTC.24.03.26</v>
      </c>
      <c r="L288" s="19" t="str">
        <f t="shared" si="11"/>
        <v>287 CupDBDGam287.PQTC.24.03.26 DBD Проклятое наследие</v>
      </c>
    </row>
    <row r="289" spans="1:12">
      <c r="A289" s="5">
        <v>288</v>
      </c>
      <c r="C289" s="6" t="s">
        <v>40</v>
      </c>
      <c r="D289" s="7" t="s">
        <v>316</v>
      </c>
      <c r="E289" s="6" t="str">
        <f t="shared" si="9"/>
        <v>288.</v>
      </c>
      <c r="F289" s="19" t="s">
        <v>13</v>
      </c>
      <c r="G289" s="8" t="s">
        <v>365</v>
      </c>
      <c r="H289" s="6" t="s">
        <v>328</v>
      </c>
      <c r="J289" s="21" t="str">
        <f t="shared" si="10"/>
        <v>CupDBDGam288.PQTC.24.03.26</v>
      </c>
      <c r="L289" s="19" t="str">
        <f t="shared" si="11"/>
        <v>288 CupDBDGam288.PQTC.24.03.26 DBD Очень странные дела</v>
      </c>
    </row>
    <row r="290" spans="1:12">
      <c r="A290" s="5">
        <v>289</v>
      </c>
      <c r="C290" s="6" t="s">
        <v>40</v>
      </c>
      <c r="D290" s="7" t="s">
        <v>316</v>
      </c>
      <c r="E290" s="6" t="str">
        <f t="shared" si="9"/>
        <v>289.</v>
      </c>
      <c r="F290" s="19" t="s">
        <v>13</v>
      </c>
      <c r="G290" s="8" t="s">
        <v>365</v>
      </c>
      <c r="H290" s="6" t="s">
        <v>381</v>
      </c>
      <c r="J290" s="21" t="str">
        <f t="shared" si="10"/>
        <v>CupDBDGam289.PQTC.24.03.26</v>
      </c>
      <c r="L290" s="19" t="str">
        <f t="shared" si="11"/>
        <v>289 CupDBDGam289.PQTC.24.03.26 DBD Конец верных</v>
      </c>
    </row>
    <row r="291" spans="1:12">
      <c r="A291" s="5">
        <v>290</v>
      </c>
      <c r="C291" s="6" t="s">
        <v>40</v>
      </c>
      <c r="D291" s="7" t="s">
        <v>316</v>
      </c>
      <c r="E291" s="6" t="str">
        <f t="shared" si="9"/>
        <v>290.</v>
      </c>
      <c r="F291" s="19" t="s">
        <v>13</v>
      </c>
      <c r="G291" s="8" t="s">
        <v>365</v>
      </c>
      <c r="H291" s="6" t="s">
        <v>382</v>
      </c>
      <c r="J291" s="21" t="str">
        <f t="shared" si="10"/>
        <v>CupDBDGam290.PQTC.24.03.26</v>
      </c>
      <c r="L291" s="19" t="str">
        <f t="shared" si="11"/>
        <v>290 CupDBDGam290.PQTC.24.03.26 DBD Тьма среди нас</v>
      </c>
    </row>
    <row r="292" spans="1:12">
      <c r="A292" s="5">
        <v>291</v>
      </c>
      <c r="C292" s="6" t="s">
        <v>40</v>
      </c>
      <c r="D292" s="7" t="s">
        <v>316</v>
      </c>
      <c r="E292" s="6" t="str">
        <f t="shared" si="9"/>
        <v>291.</v>
      </c>
      <c r="F292" s="19" t="s">
        <v>13</v>
      </c>
      <c r="G292" s="8" t="s">
        <v>365</v>
      </c>
      <c r="H292" s="6" t="s">
        <v>383</v>
      </c>
      <c r="J292" s="21" t="str">
        <f t="shared" si="10"/>
        <v>CupDBDGam291.PQTC.24.03.26</v>
      </c>
      <c r="L292" s="19" t="str">
        <f t="shared" si="11"/>
        <v>291 CupDBDGam291.PQTC.24.03.26 DBD Расколотая родословная</v>
      </c>
    </row>
    <row r="293" spans="1:12">
      <c r="A293" s="5">
        <v>292</v>
      </c>
      <c r="C293" s="6" t="s">
        <v>40</v>
      </c>
      <c r="D293" s="7" t="s">
        <v>316</v>
      </c>
      <c r="E293" s="6" t="str">
        <f t="shared" si="9"/>
        <v>292.</v>
      </c>
      <c r="F293" s="19" t="s">
        <v>13</v>
      </c>
      <c r="G293" s="8" t="s">
        <v>365</v>
      </c>
      <c r="H293" s="6" t="s">
        <v>384</v>
      </c>
      <c r="J293" s="21" t="str">
        <f t="shared" si="10"/>
        <v>CupDBDGam292.PQTC.24.03.26</v>
      </c>
      <c r="L293" s="19" t="str">
        <f t="shared" si="11"/>
        <v>292 CupDBDGam292.PQTC.24.03.26 DBD Занавес</v>
      </c>
    </row>
    <row r="294" spans="1:12">
      <c r="A294" s="5">
        <v>293</v>
      </c>
      <c r="C294" s="6" t="s">
        <v>40</v>
      </c>
      <c r="D294" s="7" t="s">
        <v>316</v>
      </c>
      <c r="E294" s="6" t="str">
        <f t="shared" si="9"/>
        <v>293.</v>
      </c>
      <c r="F294" s="19" t="s">
        <v>13</v>
      </c>
      <c r="G294" s="8" t="s">
        <v>365</v>
      </c>
      <c r="H294" s="6" t="s">
        <v>385</v>
      </c>
      <c r="J294" s="21" t="str">
        <f t="shared" si="10"/>
        <v>CupDBDGam293.PQTC.24.03.26</v>
      </c>
      <c r="L294" s="19" t="str">
        <f t="shared" si="11"/>
        <v>293 CupDBDGam293.PQTC.24.03.26 DBD Увидел</v>
      </c>
    </row>
    <row r="295" spans="1:12">
      <c r="A295" s="5">
        <v>294</v>
      </c>
      <c r="C295" s="6" t="s">
        <v>40</v>
      </c>
      <c r="D295" s="7" t="s">
        <v>316</v>
      </c>
      <c r="E295" s="6" t="str">
        <f t="shared" si="9"/>
        <v>294.</v>
      </c>
      <c r="F295" s="19" t="s">
        <v>13</v>
      </c>
      <c r="G295" s="8" t="s">
        <v>365</v>
      </c>
      <c r="H295" s="6" t="s">
        <v>386</v>
      </c>
      <c r="J295" s="21" t="str">
        <f t="shared" si="10"/>
        <v>CupDBDGam294.PQTC.24.03.26</v>
      </c>
      <c r="L295" s="19" t="str">
        <f t="shared" si="11"/>
        <v>294 CupDBDGam294.PQTC.24.03.26 DBD Кошмар на улице Вязов</v>
      </c>
    </row>
    <row r="296" spans="1:12">
      <c r="A296" s="5">
        <v>295</v>
      </c>
      <c r="C296" s="6" t="s">
        <v>40</v>
      </c>
      <c r="D296" s="7" t="s">
        <v>316</v>
      </c>
      <c r="E296" s="6" t="str">
        <f t="shared" si="9"/>
        <v>295.</v>
      </c>
      <c r="F296" s="19" t="s">
        <v>13</v>
      </c>
      <c r="G296" s="8" t="s">
        <v>365</v>
      </c>
      <c r="H296" s="6" t="s">
        <v>387</v>
      </c>
      <c r="J296" s="21" t="str">
        <f t="shared" si="10"/>
        <v>CupDBDGam295.PQTC.24.03.26</v>
      </c>
      <c r="L296" s="19" t="str">
        <f t="shared" si="11"/>
        <v>295 CupDBDGam295.PQTC.24.03.26 DBD Кожаное лицо</v>
      </c>
    </row>
    <row r="297" spans="1:12">
      <c r="A297" s="5">
        <v>296</v>
      </c>
      <c r="C297" s="6" t="s">
        <v>40</v>
      </c>
      <c r="D297" s="7" t="s">
        <v>316</v>
      </c>
      <c r="E297" s="6" t="str">
        <f t="shared" si="9"/>
        <v>296.</v>
      </c>
      <c r="F297" s="19" t="s">
        <v>13</v>
      </c>
      <c r="G297" s="8" t="s">
        <v>365</v>
      </c>
      <c r="H297" s="6" t="s">
        <v>388</v>
      </c>
      <c r="J297" s="21" t="str">
        <f t="shared" si="10"/>
        <v>CupDBDGam296.PQTC.24.03.26</v>
      </c>
      <c r="L297" s="19" t="str">
        <f t="shared" si="11"/>
        <v>296 CupDBDGam296.PQTC.24.03.26 DBD О плоти и грязи</v>
      </c>
    </row>
    <row r="298" spans="1:12">
      <c r="A298" s="5">
        <v>297</v>
      </c>
      <c r="C298" s="6" t="s">
        <v>40</v>
      </c>
      <c r="D298" s="7" t="s">
        <v>316</v>
      </c>
      <c r="E298" s="6" t="str">
        <f t="shared" si="9"/>
        <v>297.</v>
      </c>
      <c r="F298" s="19" t="s">
        <v>13</v>
      </c>
      <c r="G298" s="8" t="s">
        <v>365</v>
      </c>
      <c r="H298" s="6" t="s">
        <v>389</v>
      </c>
      <c r="J298" s="21" t="str">
        <f t="shared" si="10"/>
        <v>CupDBDGam297.PQTC.24.03.26</v>
      </c>
      <c r="L298" s="19" t="str">
        <f t="shared" si="11"/>
        <v>297 CupDBDGam297.PQTC.24.03.26 DBD Колыбельная для тьмы</v>
      </c>
    </row>
    <row r="299" spans="1:12">
      <c r="A299" s="5">
        <v>298</v>
      </c>
      <c r="C299" s="6" t="s">
        <v>40</v>
      </c>
      <c r="D299" s="7" t="s">
        <v>316</v>
      </c>
      <c r="E299" s="6" t="str">
        <f t="shared" si="9"/>
        <v>298.</v>
      </c>
      <c r="F299" s="19" t="s">
        <v>13</v>
      </c>
      <c r="G299" s="8" t="s">
        <v>365</v>
      </c>
      <c r="H299" s="6" t="s">
        <v>390</v>
      </c>
      <c r="J299" s="21" t="str">
        <f t="shared" si="10"/>
        <v>CupDBDGam298.PQTC.24.03.26</v>
      </c>
      <c r="L299" s="19" t="str">
        <f t="shared" si="11"/>
        <v>298 CupDBDGam298.PQTC.24.03.26 DBD Последний вздох</v>
      </c>
    </row>
    <row r="300" spans="1:12">
      <c r="A300" s="5">
        <v>299</v>
      </c>
      <c r="C300" s="6" t="s">
        <v>40</v>
      </c>
      <c r="D300" s="7" t="s">
        <v>316</v>
      </c>
      <c r="E300" s="6" t="str">
        <f t="shared" si="9"/>
        <v>299.</v>
      </c>
      <c r="F300" s="19" t="s">
        <v>13</v>
      </c>
      <c r="G300" s="8" t="s">
        <v>365</v>
      </c>
      <c r="H300" s="6" t="s">
        <v>391</v>
      </c>
      <c r="J300" s="21" t="str">
        <f t="shared" si="10"/>
        <v>CupDBDGam299.PQTC.24.03.26</v>
      </c>
      <c r="L300" s="19" t="str">
        <f t="shared" si="11"/>
        <v>299 CupDBDGam299.PQTC.24.03.26 DBD Деревенщина</v>
      </c>
    </row>
    <row r="301" spans="1:12">
      <c r="A301" s="5">
        <v>300</v>
      </c>
      <c r="C301" s="6" t="s">
        <v>40</v>
      </c>
      <c r="D301" s="7" t="s">
        <v>316</v>
      </c>
      <c r="E301" s="6" t="str">
        <f t="shared" si="9"/>
        <v>300.</v>
      </c>
      <c r="F301" s="19" t="s">
        <v>13</v>
      </c>
      <c r="G301" s="8" t="s">
        <v>365</v>
      </c>
      <c r="H301" s="6" t="s">
        <v>392</v>
      </c>
      <c r="J301" s="21" t="str">
        <f t="shared" si="10"/>
        <v>CupDBDGam300.PQTC.24.03.26</v>
      </c>
      <c r="L301" s="19" t="str">
        <f t="shared" si="11"/>
        <v>300 CupDBDGam300.PQTC.24.03.26 DBD Призрак</v>
      </c>
    </row>
    <row r="302" spans="1:12">
      <c r="A302" s="5">
        <v>301</v>
      </c>
      <c r="C302" s="6" t="s">
        <v>40</v>
      </c>
      <c r="D302" s="7" t="s">
        <v>316</v>
      </c>
      <c r="E302" s="6" t="str">
        <f t="shared" si="9"/>
        <v>301.</v>
      </c>
      <c r="F302" s="19" t="s">
        <v>13</v>
      </c>
      <c r="G302" s="8" t="s">
        <v>365</v>
      </c>
      <c r="H302" s="6" t="s">
        <v>393</v>
      </c>
      <c r="J302" s="21" t="str">
        <f t="shared" si="10"/>
        <v>CupDBDGam301.PQTC.24.03.26</v>
      </c>
      <c r="L302" s="19" t="str">
        <f t="shared" si="11"/>
        <v>301 CupDBDGam301.PQTC.24.03.26 DBD Охотник</v>
      </c>
    </row>
    <row r="303" spans="1:12">
      <c r="A303" s="5">
        <v>302</v>
      </c>
      <c r="C303" s="6" t="s">
        <v>10</v>
      </c>
      <c r="D303" s="7" t="s">
        <v>338</v>
      </c>
      <c r="E303" s="6" t="str">
        <f t="shared" si="9"/>
        <v>302.</v>
      </c>
      <c r="F303" s="19" t="s">
        <v>13</v>
      </c>
      <c r="G303" s="8" t="s">
        <v>371</v>
      </c>
      <c r="H303" s="6" t="s">
        <v>394</v>
      </c>
      <c r="J303" s="21" t="str">
        <f t="shared" si="10"/>
        <v>NtrAntaly302.PQTC.25.03.26</v>
      </c>
      <c r="L303" s="19" t="str">
        <f t="shared" si="11"/>
        <v>302 NtrAntaly302.PQTC.25.03.26 Анталья минарет Йивли</v>
      </c>
    </row>
    <row r="304" spans="1:12">
      <c r="A304" s="5">
        <v>303</v>
      </c>
      <c r="C304" s="6" t="s">
        <v>10</v>
      </c>
      <c r="D304" s="7" t="s">
        <v>338</v>
      </c>
      <c r="E304" s="6" t="str">
        <f t="shared" si="9"/>
        <v>303.</v>
      </c>
      <c r="F304" s="19" t="s">
        <v>13</v>
      </c>
      <c r="G304" s="8" t="s">
        <v>371</v>
      </c>
      <c r="H304" s="6" t="s">
        <v>394</v>
      </c>
      <c r="J304" s="21" t="str">
        <f t="shared" si="10"/>
        <v>NtrAntaly303.PQTC.25.03.26</v>
      </c>
      <c r="L304" s="19" t="str">
        <f t="shared" si="11"/>
        <v>303 NtrAntaly303.PQTC.25.03.26 Анталья минарет Йивли</v>
      </c>
    </row>
    <row r="305" spans="1:12">
      <c r="A305" s="5">
        <v>304</v>
      </c>
      <c r="C305" s="6" t="s">
        <v>10</v>
      </c>
      <c r="D305" s="7" t="s">
        <v>338</v>
      </c>
      <c r="E305" s="6" t="str">
        <f t="shared" si="9"/>
        <v>304.</v>
      </c>
      <c r="F305" s="19" t="s">
        <v>13</v>
      </c>
      <c r="G305" s="8" t="s">
        <v>371</v>
      </c>
      <c r="H305" s="6" t="s">
        <v>394</v>
      </c>
      <c r="J305" s="21" t="str">
        <f t="shared" si="10"/>
        <v>NtrAntaly304.PQTC.25.03.26</v>
      </c>
      <c r="L305" s="19" t="str">
        <f t="shared" si="11"/>
        <v>304 NtrAntaly304.PQTC.25.03.26 Анталья минарет Йивли</v>
      </c>
    </row>
    <row r="306" spans="1:12">
      <c r="A306" s="5">
        <v>305</v>
      </c>
      <c r="C306" s="6" t="s">
        <v>10</v>
      </c>
      <c r="D306" s="7" t="s">
        <v>338</v>
      </c>
      <c r="E306" s="6" t="str">
        <f t="shared" si="9"/>
        <v>305.</v>
      </c>
      <c r="F306" s="19" t="s">
        <v>13</v>
      </c>
      <c r="G306" s="8" t="s">
        <v>371</v>
      </c>
      <c r="H306" s="6" t="s">
        <v>394</v>
      </c>
      <c r="J306" s="21" t="str">
        <f t="shared" si="10"/>
        <v>NtrAntaly305.PQTC.25.03.26</v>
      </c>
      <c r="L306" s="19" t="str">
        <f t="shared" si="11"/>
        <v>305 NtrAntaly305.PQTC.25.03.26 Анталья минарет Йивли</v>
      </c>
    </row>
    <row r="307" spans="1:12">
      <c r="A307" s="5">
        <v>306</v>
      </c>
      <c r="C307" s="6" t="s">
        <v>10</v>
      </c>
      <c r="D307" s="7" t="s">
        <v>338</v>
      </c>
      <c r="E307" s="6" t="str">
        <f t="shared" si="9"/>
        <v>306.</v>
      </c>
      <c r="F307" s="19" t="s">
        <v>13</v>
      </c>
      <c r="G307" s="8" t="s">
        <v>371</v>
      </c>
      <c r="H307" s="6" t="s">
        <v>394</v>
      </c>
      <c r="J307" s="21" t="str">
        <f t="shared" si="10"/>
        <v>NtrAntaly306.PQTC.25.03.26</v>
      </c>
      <c r="L307" s="19" t="str">
        <f t="shared" si="11"/>
        <v>306 NtrAntaly306.PQTC.25.03.26 Анталья минарет Йивли</v>
      </c>
    </row>
    <row r="308" spans="1:12">
      <c r="A308" s="5">
        <v>307</v>
      </c>
      <c r="C308" s="6" t="s">
        <v>10</v>
      </c>
      <c r="D308" s="7" t="s">
        <v>338</v>
      </c>
      <c r="E308" s="6" t="str">
        <f t="shared" si="9"/>
        <v>307.</v>
      </c>
      <c r="F308" s="19" t="s">
        <v>13</v>
      </c>
      <c r="G308" s="8" t="s">
        <v>371</v>
      </c>
      <c r="H308" s="6" t="s">
        <v>394</v>
      </c>
      <c r="J308" s="21" t="str">
        <f t="shared" si="10"/>
        <v>NtrAntaly307.PQTC.25.03.26</v>
      </c>
      <c r="L308" s="19" t="str">
        <f t="shared" si="11"/>
        <v>307 NtrAntaly307.PQTC.25.03.26 Анталья минарет Йивли</v>
      </c>
    </row>
    <row r="309" spans="1:12">
      <c r="A309" s="5">
        <v>308</v>
      </c>
      <c r="C309" s="6" t="s">
        <v>10</v>
      </c>
      <c r="D309" s="7" t="s">
        <v>338</v>
      </c>
      <c r="E309" s="6" t="str">
        <f t="shared" si="9"/>
        <v>308.</v>
      </c>
      <c r="F309" s="19" t="s">
        <v>13</v>
      </c>
      <c r="G309" s="8" t="s">
        <v>371</v>
      </c>
      <c r="H309" s="6" t="s">
        <v>395</v>
      </c>
      <c r="J309" s="21" t="str">
        <f t="shared" si="10"/>
        <v>NtrAntaly308.PQTC.25.03.26</v>
      </c>
      <c r="L309" s="19" t="str">
        <f t="shared" si="11"/>
        <v>308 NtrAntaly308.PQTC.25.03.26 Анталья</v>
      </c>
    </row>
    <row r="310" spans="1:12">
      <c r="A310" s="5">
        <v>309</v>
      </c>
      <c r="C310" s="6" t="s">
        <v>10</v>
      </c>
      <c r="D310" s="7" t="s">
        <v>338</v>
      </c>
      <c r="E310" s="6" t="str">
        <f t="shared" si="9"/>
        <v>309.</v>
      </c>
      <c r="F310" s="19" t="s">
        <v>13</v>
      </c>
      <c r="G310" s="8" t="s">
        <v>371</v>
      </c>
      <c r="H310" s="6" t="s">
        <v>395</v>
      </c>
      <c r="J310" s="21" t="str">
        <f t="shared" si="10"/>
        <v>NtrAntaly309.PQTC.25.03.26</v>
      </c>
      <c r="L310" s="19" t="str">
        <f t="shared" si="11"/>
        <v>309 NtrAntaly309.PQTC.25.03.26 Анталья</v>
      </c>
    </row>
    <row r="311" spans="1:12">
      <c r="A311" s="5">
        <v>310</v>
      </c>
      <c r="C311" s="6" t="s">
        <v>10</v>
      </c>
      <c r="D311" s="7" t="s">
        <v>338</v>
      </c>
      <c r="E311" s="6" t="str">
        <f t="shared" si="9"/>
        <v>310.</v>
      </c>
      <c r="F311" s="19" t="s">
        <v>13</v>
      </c>
      <c r="G311" s="8" t="s">
        <v>371</v>
      </c>
      <c r="H311" s="6" t="s">
        <v>395</v>
      </c>
      <c r="J311" s="21" t="str">
        <f t="shared" si="10"/>
        <v>NtrAntaly310.PQTC.25.03.26</v>
      </c>
      <c r="L311" s="19" t="str">
        <f t="shared" si="11"/>
        <v>310 NtrAntaly310.PQTC.25.03.26 Анталья</v>
      </c>
    </row>
    <row r="312" spans="1:12">
      <c r="A312" s="5">
        <v>311</v>
      </c>
      <c r="C312" s="6" t="s">
        <v>10</v>
      </c>
      <c r="D312" s="7" t="s">
        <v>338</v>
      </c>
      <c r="E312" s="6" t="str">
        <f t="shared" si="9"/>
        <v>311.</v>
      </c>
      <c r="F312" s="19" t="s">
        <v>13</v>
      </c>
      <c r="G312" s="8" t="s">
        <v>371</v>
      </c>
      <c r="H312" s="6" t="s">
        <v>395</v>
      </c>
      <c r="J312" s="21" t="str">
        <f t="shared" si="10"/>
        <v>NtrAntaly311.PQTC.25.03.26</v>
      </c>
      <c r="L312" s="19" t="str">
        <f t="shared" si="11"/>
        <v>311 NtrAntaly311.PQTC.25.03.26 Анталья</v>
      </c>
    </row>
    <row r="313" spans="1:12">
      <c r="A313" s="5">
        <v>312</v>
      </c>
      <c r="C313" s="6" t="s">
        <v>10</v>
      </c>
      <c r="D313" s="7" t="s">
        <v>338</v>
      </c>
      <c r="E313" s="6" t="str">
        <f t="shared" si="9"/>
        <v>312.</v>
      </c>
      <c r="F313" s="19" t="s">
        <v>13</v>
      </c>
      <c r="G313" s="8" t="s">
        <v>371</v>
      </c>
      <c r="H313" s="6" t="s">
        <v>396</v>
      </c>
      <c r="J313" s="21" t="str">
        <f t="shared" si="10"/>
        <v>NtrAntaly312.PQTC.25.03.26</v>
      </c>
      <c r="L313" s="19" t="str">
        <f t="shared" si="11"/>
        <v>312 NtrAntaly312.PQTC.25.03.26 Анталья башня с часами</v>
      </c>
    </row>
    <row r="314" spans="1:12">
      <c r="A314" s="5">
        <v>313</v>
      </c>
      <c r="C314" s="6" t="s">
        <v>40</v>
      </c>
      <c r="D314" s="7" t="s">
        <v>397</v>
      </c>
      <c r="E314" s="6" t="str">
        <f t="shared" si="9"/>
        <v>313.</v>
      </c>
      <c r="F314" s="19" t="s">
        <v>13</v>
      </c>
      <c r="G314" s="8" t="s">
        <v>398</v>
      </c>
      <c r="H314" s="6" t="s">
        <v>399</v>
      </c>
      <c r="J314" s="21" t="str">
        <f t="shared" si="10"/>
        <v>CupDontSt313.PQTC.26.03.26</v>
      </c>
      <c r="L314" s="19" t="str">
        <f t="shared" si="11"/>
        <v>313 CupDontSt313.PQTC.26.03.26 Обложка_Уилсон</v>
      </c>
    </row>
    <row r="315" spans="1:12">
      <c r="A315" s="5">
        <v>314</v>
      </c>
      <c r="C315" s="6" t="s">
        <v>40</v>
      </c>
      <c r="D315" s="7" t="s">
        <v>397</v>
      </c>
      <c r="E315" s="6" t="str">
        <f t="shared" si="9"/>
        <v>314.</v>
      </c>
      <c r="F315" s="19" t="s">
        <v>13</v>
      </c>
      <c r="G315" s="8" t="s">
        <v>398</v>
      </c>
      <c r="H315" s="6" t="s">
        <v>400</v>
      </c>
      <c r="J315" s="21" t="str">
        <f t="shared" si="10"/>
        <v>CupDontSt314.PQTC.26.03.26</v>
      </c>
      <c r="L315" s="19" t="str">
        <f t="shared" si="11"/>
        <v>314 CupDontSt314.PQTC.26.03.26 Обложка_Уилсон_2</v>
      </c>
    </row>
    <row r="316" spans="1:12">
      <c r="A316" s="5">
        <v>315</v>
      </c>
      <c r="C316" s="6" t="s">
        <v>40</v>
      </c>
      <c r="D316" s="7" t="s">
        <v>397</v>
      </c>
      <c r="E316" s="6" t="str">
        <f t="shared" ref="E316:E345" si="12">A316&amp;"."</f>
        <v>315.</v>
      </c>
      <c r="F316" s="19" t="s">
        <v>13</v>
      </c>
      <c r="G316" s="8" t="s">
        <v>398</v>
      </c>
      <c r="H316" s="6" t="s">
        <v>401</v>
      </c>
      <c r="J316" s="21" t="str">
        <f t="shared" si="10"/>
        <v>CupDontSt315.PQTC.26.03.26</v>
      </c>
      <c r="L316" s="19" t="str">
        <f t="shared" si="11"/>
        <v>315 CupDontSt315.PQTC.26.03.26 Обложка_Уилсон_3</v>
      </c>
    </row>
    <row r="317" spans="1:12">
      <c r="A317" s="5">
        <v>316</v>
      </c>
      <c r="C317" s="6" t="s">
        <v>40</v>
      </c>
      <c r="D317" s="7" t="s">
        <v>397</v>
      </c>
      <c r="E317" s="6" t="str">
        <f t="shared" si="12"/>
        <v>316.</v>
      </c>
      <c r="F317" s="19" t="s">
        <v>13</v>
      </c>
      <c r="G317" s="8" t="s">
        <v>398</v>
      </c>
      <c r="H317" s="6" t="s">
        <v>402</v>
      </c>
      <c r="J317" s="21" t="str">
        <f t="shared" si="10"/>
        <v>CupDontSt316.PQTC.26.03.26</v>
      </c>
      <c r="L317" s="19" t="str">
        <f t="shared" si="11"/>
        <v>316 CupDontSt316.PQTC.26.03.26 Обложка_Уилсон_4</v>
      </c>
    </row>
    <row r="318" spans="1:12">
      <c r="A318" s="5">
        <v>317</v>
      </c>
      <c r="C318" s="6" t="s">
        <v>40</v>
      </c>
      <c r="D318" s="7" t="s">
        <v>397</v>
      </c>
      <c r="E318" s="6" t="str">
        <f t="shared" si="12"/>
        <v>317.</v>
      </c>
      <c r="F318" s="19" t="s">
        <v>13</v>
      </c>
      <c r="G318" s="8" t="s">
        <v>398</v>
      </c>
      <c r="H318" s="6" t="s">
        <v>403</v>
      </c>
      <c r="J318" s="21" t="str">
        <f t="shared" si="10"/>
        <v>CupDontSt317.PQTC.26.03.26</v>
      </c>
      <c r="L318" s="19" t="str">
        <f t="shared" si="11"/>
        <v>317 CupDontSt317.PQTC.26.03.26 Обложка_Уилсон_5</v>
      </c>
    </row>
    <row r="319" spans="1:12">
      <c r="A319" s="5">
        <v>318</v>
      </c>
      <c r="C319" s="6" t="s">
        <v>40</v>
      </c>
      <c r="D319" s="7" t="s">
        <v>397</v>
      </c>
      <c r="E319" s="6" t="str">
        <f t="shared" si="12"/>
        <v>318.</v>
      </c>
      <c r="F319" s="19" t="s">
        <v>13</v>
      </c>
      <c r="G319" s="8" t="s">
        <v>398</v>
      </c>
      <c r="H319" s="6" t="s">
        <v>404</v>
      </c>
      <c r="J319" s="21" t="str">
        <f t="shared" si="10"/>
        <v>CupDontSt318.PQTC.26.03.26</v>
      </c>
      <c r="L319" s="19" t="str">
        <f t="shared" si="11"/>
        <v>318 CupDontSt318.PQTC.26.03.26 Обложка_Уилсон_6</v>
      </c>
    </row>
    <row r="320" spans="1:12">
      <c r="A320" s="5">
        <v>319</v>
      </c>
      <c r="C320" s="6" t="s">
        <v>40</v>
      </c>
      <c r="D320" s="7" t="s">
        <v>397</v>
      </c>
      <c r="E320" s="6" t="str">
        <f t="shared" si="12"/>
        <v>319.</v>
      </c>
      <c r="F320" s="19" t="s">
        <v>13</v>
      </c>
      <c r="G320" s="8" t="s">
        <v>398</v>
      </c>
      <c r="H320" s="6" t="s">
        <v>405</v>
      </c>
      <c r="J320" s="21" t="str">
        <f t="shared" si="10"/>
        <v>CupDontSt319.PQTC.26.03.26</v>
      </c>
      <c r="L320" s="19" t="str">
        <f t="shared" si="11"/>
        <v>319 CupDontSt319.PQTC.26.03.26 Обложка_Уилсон_7</v>
      </c>
    </row>
    <row r="321" spans="1:12">
      <c r="A321" s="5">
        <v>320</v>
      </c>
      <c r="C321" s="6" t="s">
        <v>40</v>
      </c>
      <c r="D321" s="7" t="s">
        <v>397</v>
      </c>
      <c r="E321" s="6" t="str">
        <f t="shared" si="12"/>
        <v>320.</v>
      </c>
      <c r="F321" s="19" t="s">
        <v>13</v>
      </c>
      <c r="G321" s="8" t="s">
        <v>398</v>
      </c>
      <c r="H321" s="6" t="s">
        <v>406</v>
      </c>
      <c r="J321" s="21" t="str">
        <f t="shared" si="10"/>
        <v>CupDontSt320.PQTC.26.03.26</v>
      </c>
      <c r="L321" s="19" t="str">
        <f t="shared" si="11"/>
        <v>320 CupDontSt320.PQTC.26.03.26 Обложка_Максвелл</v>
      </c>
    </row>
    <row r="322" spans="1:12">
      <c r="A322" s="5">
        <v>321</v>
      </c>
      <c r="C322" s="6" t="s">
        <v>40</v>
      </c>
      <c r="D322" s="7" t="s">
        <v>397</v>
      </c>
      <c r="E322" s="6" t="str">
        <f t="shared" si="12"/>
        <v>321.</v>
      </c>
      <c r="F322" s="19" t="s">
        <v>13</v>
      </c>
      <c r="G322" s="8" t="s">
        <v>398</v>
      </c>
      <c r="H322" s="6" t="s">
        <v>407</v>
      </c>
      <c r="J322" s="21" t="str">
        <f t="shared" ref="J322:J345" si="13">C322&amp;D322&amp;E322&amp;F322&amp;G322</f>
        <v>CupDontSt321.PQTC.26.03.26</v>
      </c>
      <c r="L322" s="19" t="str">
        <f t="shared" ref="L322:L345" si="14">A322&amp;" "&amp;C322&amp;D322&amp;E322&amp;F322&amp;G322&amp;" "&amp;H322</f>
        <v>321 CupDontSt321.PQTC.26.03.26 Обложка_Verdant</v>
      </c>
    </row>
    <row r="323" spans="1:12">
      <c r="A323" s="5">
        <v>322</v>
      </c>
      <c r="C323" s="6" t="s">
        <v>40</v>
      </c>
      <c r="D323" s="7" t="s">
        <v>397</v>
      </c>
      <c r="E323" s="6" t="str">
        <f t="shared" si="12"/>
        <v>322.</v>
      </c>
      <c r="F323" s="19" t="s">
        <v>13</v>
      </c>
      <c r="G323" s="8" t="s">
        <v>398</v>
      </c>
      <c r="H323" s="6" t="s">
        <v>408</v>
      </c>
      <c r="J323" s="21" t="str">
        <f t="shared" si="13"/>
        <v>CupDontSt322.PQTC.26.03.26</v>
      </c>
      <c r="L323" s="19" t="str">
        <f t="shared" si="14"/>
        <v>322 CupDontSt322.PQTC.26.03.26 Обложка_Персонажи_1</v>
      </c>
    </row>
    <row r="324" spans="1:12">
      <c r="A324" s="5">
        <v>323</v>
      </c>
      <c r="C324" s="6" t="s">
        <v>40</v>
      </c>
      <c r="D324" s="7" t="s">
        <v>397</v>
      </c>
      <c r="E324" s="6" t="str">
        <f t="shared" si="12"/>
        <v>323.</v>
      </c>
      <c r="F324" s="19" t="s">
        <v>13</v>
      </c>
      <c r="G324" s="8" t="s">
        <v>398</v>
      </c>
      <c r="H324" s="6" t="s">
        <v>409</v>
      </c>
      <c r="J324" s="21" t="str">
        <f t="shared" si="13"/>
        <v>CupDontSt323.PQTC.26.03.26</v>
      </c>
      <c r="L324" s="19" t="str">
        <f t="shared" si="14"/>
        <v>323 CupDontSt323.PQTC.26.03.26 Обложка_Персонажи_2</v>
      </c>
    </row>
    <row r="325" spans="1:12">
      <c r="A325" s="5">
        <v>324</v>
      </c>
      <c r="C325" s="6" t="s">
        <v>10</v>
      </c>
      <c r="D325" s="7" t="s">
        <v>338</v>
      </c>
      <c r="E325" s="6" t="str">
        <f t="shared" si="12"/>
        <v>324.</v>
      </c>
      <c r="F325" s="19" t="s">
        <v>13</v>
      </c>
      <c r="G325" s="8" t="s">
        <v>410</v>
      </c>
      <c r="H325" s="6" t="s">
        <v>395</v>
      </c>
      <c r="J325" s="21" t="str">
        <f t="shared" si="13"/>
        <v>NtrAntaly324.PQTC.27.03.26</v>
      </c>
      <c r="L325" s="19" t="str">
        <f t="shared" si="14"/>
        <v>324 NtrAntaly324.PQTC.27.03.26 Анталья</v>
      </c>
    </row>
    <row r="326" spans="1:12">
      <c r="A326" s="5">
        <v>325</v>
      </c>
      <c r="C326" s="6" t="s">
        <v>10</v>
      </c>
      <c r="D326" s="7" t="s">
        <v>338</v>
      </c>
      <c r="E326" s="6" t="str">
        <f t="shared" si="12"/>
        <v>325.</v>
      </c>
      <c r="F326" s="19" t="s">
        <v>13</v>
      </c>
      <c r="G326" s="8" t="s">
        <v>410</v>
      </c>
      <c r="H326" s="6" t="s">
        <v>395</v>
      </c>
      <c r="J326" s="21" t="str">
        <f t="shared" si="13"/>
        <v>NtrAntaly325.PQTC.27.03.26</v>
      </c>
      <c r="L326" s="19" t="str">
        <f t="shared" si="14"/>
        <v>325 NtrAntaly325.PQTC.27.03.26 Анталья</v>
      </c>
    </row>
    <row r="327" spans="1:12">
      <c r="A327" s="5">
        <v>326</v>
      </c>
      <c r="C327" s="6" t="s">
        <v>10</v>
      </c>
      <c r="D327" s="7" t="s">
        <v>338</v>
      </c>
      <c r="E327" s="6" t="str">
        <f t="shared" si="12"/>
        <v>326.</v>
      </c>
      <c r="F327" s="19" t="s">
        <v>13</v>
      </c>
      <c r="G327" s="8" t="s">
        <v>410</v>
      </c>
      <c r="H327" s="6" t="s">
        <v>395</v>
      </c>
      <c r="J327" s="21" t="str">
        <f t="shared" si="13"/>
        <v>NtrAntaly326.PQTC.27.03.26</v>
      </c>
      <c r="L327" s="19" t="str">
        <f t="shared" si="14"/>
        <v>326 NtrAntaly326.PQTC.27.03.26 Анталья</v>
      </c>
    </row>
    <row r="328" spans="1:12">
      <c r="A328" s="5">
        <v>327</v>
      </c>
      <c r="C328" s="6" t="s">
        <v>10</v>
      </c>
      <c r="D328" s="7" t="s">
        <v>338</v>
      </c>
      <c r="E328" s="6" t="str">
        <f t="shared" si="12"/>
        <v>327.</v>
      </c>
      <c r="F328" s="19" t="s">
        <v>13</v>
      </c>
      <c r="G328" s="8" t="s">
        <v>410</v>
      </c>
      <c r="H328" s="6" t="s">
        <v>395</v>
      </c>
      <c r="J328" s="21" t="str">
        <f t="shared" si="13"/>
        <v>NtrAntaly327.PQTC.27.03.26</v>
      </c>
      <c r="L328" s="19" t="str">
        <f t="shared" si="14"/>
        <v>327 NtrAntaly327.PQTC.27.03.26 Анталья</v>
      </c>
    </row>
    <row r="329" spans="1:12">
      <c r="A329" s="5">
        <v>328</v>
      </c>
      <c r="C329" s="6" t="s">
        <v>10</v>
      </c>
      <c r="D329" s="7" t="s">
        <v>338</v>
      </c>
      <c r="E329" s="6" t="str">
        <f t="shared" si="12"/>
        <v>328.</v>
      </c>
      <c r="F329" s="19" t="s">
        <v>13</v>
      </c>
      <c r="G329" s="8" t="s">
        <v>410</v>
      </c>
      <c r="H329" s="6" t="s">
        <v>411</v>
      </c>
      <c r="J329" s="21" t="str">
        <f t="shared" si="13"/>
        <v>NtrAntaly328.PQTC.27.03.26</v>
      </c>
      <c r="L329" s="19" t="str">
        <f t="shared" si="14"/>
        <v>328 NtrAntaly328.PQTC.27.03.26 Анталья горы</v>
      </c>
    </row>
    <row r="330" spans="1:12">
      <c r="A330" s="5">
        <v>329</v>
      </c>
      <c r="C330" s="6" t="s">
        <v>10</v>
      </c>
      <c r="D330" s="7" t="s">
        <v>338</v>
      </c>
      <c r="E330" s="6" t="str">
        <f t="shared" si="12"/>
        <v>329.</v>
      </c>
      <c r="F330" s="19" t="s">
        <v>13</v>
      </c>
      <c r="G330" s="8" t="s">
        <v>410</v>
      </c>
      <c r="H330" s="6" t="s">
        <v>412</v>
      </c>
      <c r="J330" s="21" t="str">
        <f t="shared" si="13"/>
        <v>NtrAntaly329.PQTC.27.03.26</v>
      </c>
      <c r="L330" s="19" t="str">
        <f t="shared" si="14"/>
        <v>329 NtrAntaly329.PQTC.27.03.26 Анталья канатная дорога</v>
      </c>
    </row>
    <row r="331" spans="1:12">
      <c r="A331" s="5">
        <v>330</v>
      </c>
      <c r="C331" s="6" t="s">
        <v>10</v>
      </c>
      <c r="D331" s="7" t="s">
        <v>338</v>
      </c>
      <c r="E331" s="6" t="str">
        <f t="shared" si="12"/>
        <v>330.</v>
      </c>
      <c r="F331" s="19" t="s">
        <v>13</v>
      </c>
      <c r="G331" s="8" t="s">
        <v>410</v>
      </c>
      <c r="H331" s="6" t="s">
        <v>412</v>
      </c>
      <c r="J331" s="21" t="str">
        <f t="shared" si="13"/>
        <v>NtrAntaly330.PQTC.27.03.26</v>
      </c>
      <c r="L331" s="19" t="str">
        <f t="shared" si="14"/>
        <v>330 NtrAntaly330.PQTC.27.03.26 Анталья канатная дорога</v>
      </c>
    </row>
    <row r="332" spans="1:12">
      <c r="A332" s="5">
        <v>331</v>
      </c>
      <c r="C332" s="6" t="s">
        <v>10</v>
      </c>
      <c r="D332" s="7" t="s">
        <v>338</v>
      </c>
      <c r="E332" s="6" t="str">
        <f t="shared" si="12"/>
        <v>331.</v>
      </c>
      <c r="F332" s="19" t="s">
        <v>13</v>
      </c>
      <c r="G332" s="8" t="s">
        <v>410</v>
      </c>
      <c r="H332" s="6" t="s">
        <v>413</v>
      </c>
      <c r="J332" s="21" t="str">
        <f t="shared" si="13"/>
        <v>NtrAntaly331.PQTC.27.03.26</v>
      </c>
      <c r="L332" s="19" t="str">
        <f t="shared" si="14"/>
        <v>331 NtrAntaly331.PQTC.27.03.26 Анталья амфитеатр Сиде</v>
      </c>
    </row>
    <row r="333" spans="1:12">
      <c r="A333" s="5">
        <v>332</v>
      </c>
      <c r="C333" s="6" t="s">
        <v>10</v>
      </c>
      <c r="D333" s="7" t="s">
        <v>338</v>
      </c>
      <c r="E333" s="6" t="str">
        <f t="shared" si="12"/>
        <v>332.</v>
      </c>
      <c r="F333" s="19" t="s">
        <v>13</v>
      </c>
      <c r="G333" s="8" t="s">
        <v>410</v>
      </c>
      <c r="H333" s="6" t="s">
        <v>360</v>
      </c>
      <c r="J333" s="21" t="str">
        <f t="shared" si="13"/>
        <v>NtrAntaly332.PQTC.27.03.26</v>
      </c>
      <c r="L333" s="19" t="str">
        <f t="shared" si="14"/>
        <v>332 NtrAntaly332.PQTC.27.03.26 Анталья Аспендос</v>
      </c>
    </row>
    <row r="334" spans="1:12">
      <c r="A334" s="5">
        <v>333</v>
      </c>
      <c r="C334" s="6" t="s">
        <v>10</v>
      </c>
      <c r="D334" s="7" t="s">
        <v>338</v>
      </c>
      <c r="E334" s="6" t="str">
        <f t="shared" si="12"/>
        <v>333.</v>
      </c>
      <c r="F334" s="19" t="s">
        <v>13</v>
      </c>
      <c r="G334" s="8" t="s">
        <v>410</v>
      </c>
      <c r="H334" s="6" t="s">
        <v>414</v>
      </c>
      <c r="J334" s="21" t="str">
        <f t="shared" si="13"/>
        <v>NtrAntaly333.PQTC.27.03.26</v>
      </c>
      <c r="L334" s="19" t="str">
        <f t="shared" si="14"/>
        <v>333 NtrAntaly333.PQTC.27.03.26 Анталья Дом-музей Ататюрка</v>
      </c>
    </row>
    <row r="335" spans="1:12">
      <c r="A335" s="5">
        <v>334</v>
      </c>
      <c r="C335" s="6" t="s">
        <v>10</v>
      </c>
      <c r="D335" s="7" t="s">
        <v>338</v>
      </c>
      <c r="E335" s="6" t="str">
        <f t="shared" si="12"/>
        <v>334.</v>
      </c>
      <c r="F335" s="19" t="s">
        <v>13</v>
      </c>
      <c r="G335" s="8" t="s">
        <v>410</v>
      </c>
      <c r="H335" s="6" t="s">
        <v>415</v>
      </c>
      <c r="J335" s="21" t="str">
        <f t="shared" si="13"/>
        <v>NtrAntaly334.PQTC.27.03.26</v>
      </c>
      <c r="L335" s="19" t="str">
        <f t="shared" si="14"/>
        <v>334 NtrAntaly334.PQTC.27.03.26 Анталья Археологический музей</v>
      </c>
    </row>
    <row r="336" spans="1:12">
      <c r="A336" s="5">
        <v>335</v>
      </c>
      <c r="C336" s="6" t="s">
        <v>10</v>
      </c>
      <c r="D336" s="7" t="s">
        <v>397</v>
      </c>
      <c r="E336" s="6" t="str">
        <f t="shared" si="12"/>
        <v>335.</v>
      </c>
      <c r="F336" s="19" t="s">
        <v>13</v>
      </c>
      <c r="G336" s="8" t="s">
        <v>410</v>
      </c>
      <c r="H336" s="6" t="s">
        <v>416</v>
      </c>
      <c r="J336" s="21" t="str">
        <f t="shared" si="13"/>
        <v>NtrDontSt335.PQTC.27.03.26</v>
      </c>
      <c r="L336" s="19" t="str">
        <f t="shared" si="14"/>
        <v>335 NtrDontSt335.PQTC.27.03.26 Dont_Starve_Уилсон</v>
      </c>
    </row>
    <row r="337" spans="1:12">
      <c r="A337" s="5">
        <v>336</v>
      </c>
      <c r="C337" s="6" t="s">
        <v>10</v>
      </c>
      <c r="D337" s="7" t="s">
        <v>397</v>
      </c>
      <c r="E337" s="6" t="str">
        <f t="shared" si="12"/>
        <v>336.</v>
      </c>
      <c r="F337" s="19" t="s">
        <v>13</v>
      </c>
      <c r="G337" s="8" t="s">
        <v>410</v>
      </c>
      <c r="H337" s="6" t="s">
        <v>417</v>
      </c>
      <c r="J337" s="21" t="str">
        <f t="shared" si="13"/>
        <v>NtrDontSt336.PQTC.27.03.26</v>
      </c>
      <c r="L337" s="19" t="str">
        <f t="shared" si="14"/>
        <v>336 NtrDontSt336.PQTC.27.03.26 Dont_Starve_Венди</v>
      </c>
    </row>
    <row r="338" spans="1:12">
      <c r="A338" s="5">
        <v>337</v>
      </c>
      <c r="C338" s="6" t="s">
        <v>10</v>
      </c>
      <c r="D338" s="7" t="s">
        <v>397</v>
      </c>
      <c r="E338" s="6" t="str">
        <f t="shared" si="12"/>
        <v>337.</v>
      </c>
      <c r="F338" s="19" t="s">
        <v>13</v>
      </c>
      <c r="G338" s="8" t="s">
        <v>410</v>
      </c>
      <c r="H338" s="6" t="s">
        <v>418</v>
      </c>
      <c r="J338" s="21" t="str">
        <f t="shared" si="13"/>
        <v>NtrDontSt337.PQTC.27.03.26</v>
      </c>
      <c r="L338" s="19" t="str">
        <f t="shared" si="14"/>
        <v>337 NtrDontSt337.PQTC.27.03.26 Dont_Starve_Венди_2</v>
      </c>
    </row>
    <row r="339" spans="1:12">
      <c r="A339" s="5">
        <v>338</v>
      </c>
      <c r="C339" s="6" t="s">
        <v>10</v>
      </c>
      <c r="D339" s="7" t="s">
        <v>397</v>
      </c>
      <c r="E339" s="6" t="str">
        <f t="shared" si="12"/>
        <v>338.</v>
      </c>
      <c r="F339" s="19" t="s">
        <v>13</v>
      </c>
      <c r="G339" s="8" t="s">
        <v>410</v>
      </c>
      <c r="H339" s="6" t="s">
        <v>419</v>
      </c>
      <c r="J339" s="21" t="str">
        <f t="shared" si="13"/>
        <v>NtrDontSt338.PQTC.27.03.26</v>
      </c>
      <c r="L339" s="19" t="str">
        <f t="shared" si="14"/>
        <v>338 NtrDontSt338.PQTC.27.03.26 Dont_Starve_ Уиллоу</v>
      </c>
    </row>
    <row r="340" spans="1:12">
      <c r="A340" s="5">
        <v>339</v>
      </c>
      <c r="C340" s="6" t="s">
        <v>10</v>
      </c>
      <c r="D340" s="7" t="s">
        <v>397</v>
      </c>
      <c r="E340" s="6" t="str">
        <f t="shared" si="12"/>
        <v>339.</v>
      </c>
      <c r="F340" s="19" t="s">
        <v>13</v>
      </c>
      <c r="G340" s="8" t="s">
        <v>410</v>
      </c>
      <c r="H340" s="6" t="s">
        <v>420</v>
      </c>
      <c r="J340" s="21" t="str">
        <f t="shared" si="13"/>
        <v>NtrDontSt339.PQTC.27.03.26</v>
      </c>
      <c r="L340" s="19" t="str">
        <f t="shared" si="14"/>
        <v>339 NtrDontSt339.PQTC.27.03.26 Dont_Starve_ Уиллоу_2</v>
      </c>
    </row>
    <row r="341" spans="1:12">
      <c r="A341" s="5">
        <v>340</v>
      </c>
      <c r="C341" s="6" t="s">
        <v>10</v>
      </c>
      <c r="D341" s="7" t="s">
        <v>397</v>
      </c>
      <c r="E341" s="6" t="str">
        <f t="shared" si="12"/>
        <v>340.</v>
      </c>
      <c r="F341" s="19" t="s">
        <v>13</v>
      </c>
      <c r="G341" s="8" t="s">
        <v>410</v>
      </c>
      <c r="H341" s="6" t="s">
        <v>421</v>
      </c>
      <c r="J341" s="21" t="str">
        <f t="shared" si="13"/>
        <v>NtrDontSt340.PQTC.27.03.26</v>
      </c>
      <c r="L341" s="19" t="str">
        <f t="shared" si="14"/>
        <v>340 NtrDontSt340.PQTC.27.03.26 Dont_Starve_ Уиллоу_3</v>
      </c>
    </row>
    <row r="342" spans="1:12">
      <c r="A342" s="5">
        <v>341</v>
      </c>
      <c r="C342" s="6" t="s">
        <v>10</v>
      </c>
      <c r="D342" s="7" t="s">
        <v>397</v>
      </c>
      <c r="E342" s="6" t="str">
        <f t="shared" si="12"/>
        <v>341.</v>
      </c>
      <c r="F342" s="19" t="s">
        <v>13</v>
      </c>
      <c r="G342" s="8" t="s">
        <v>410</v>
      </c>
      <c r="H342" s="6" t="s">
        <v>422</v>
      </c>
      <c r="J342" s="21" t="str">
        <f t="shared" si="13"/>
        <v>NtrDontSt341.PQTC.27.03.26</v>
      </c>
      <c r="L342" s="19" t="str">
        <f t="shared" si="14"/>
        <v>341 NtrDontSt341.PQTC.27.03.26 Dont_Starve_Вуди</v>
      </c>
    </row>
    <row r="343" spans="1:12">
      <c r="A343" s="5">
        <v>342</v>
      </c>
      <c r="C343" s="6" t="s">
        <v>10</v>
      </c>
      <c r="D343" s="7" t="s">
        <v>397</v>
      </c>
      <c r="E343" s="6" t="str">
        <f t="shared" si="12"/>
        <v>342.</v>
      </c>
      <c r="F343" s="19" t="s">
        <v>13</v>
      </c>
      <c r="G343" s="8" t="s">
        <v>410</v>
      </c>
      <c r="H343" s="6" t="s">
        <v>423</v>
      </c>
      <c r="J343" s="21" t="str">
        <f t="shared" si="13"/>
        <v>NtrDontSt342.PQTC.27.03.26</v>
      </c>
      <c r="L343" s="19" t="str">
        <f t="shared" si="14"/>
        <v>342 NtrDontSt342.PQTC.27.03.26 Dont_Starve_Персонажи</v>
      </c>
    </row>
    <row r="344" spans="1:12">
      <c r="A344" s="5">
        <v>343</v>
      </c>
      <c r="C344" s="6" t="s">
        <v>10</v>
      </c>
      <c r="D344" s="7" t="s">
        <v>397</v>
      </c>
      <c r="E344" s="6" t="str">
        <f t="shared" si="12"/>
        <v>343.</v>
      </c>
      <c r="F344" s="19" t="s">
        <v>13</v>
      </c>
      <c r="G344" s="8" t="s">
        <v>410</v>
      </c>
      <c r="H344" s="6" t="s">
        <v>424</v>
      </c>
      <c r="J344" s="21" t="str">
        <f t="shared" si="13"/>
        <v>NtrDontSt343.PQTC.27.03.26</v>
      </c>
      <c r="L344" s="19" t="str">
        <f t="shared" si="14"/>
        <v>343 NtrDontSt343.PQTC.27.03.26 Dont_Starve_Персонажи_2</v>
      </c>
    </row>
    <row r="345" spans="1:12">
      <c r="A345" s="5">
        <v>344</v>
      </c>
      <c r="C345" s="6" t="s">
        <v>10</v>
      </c>
      <c r="D345" s="7" t="s">
        <v>397</v>
      </c>
      <c r="E345" s="6" t="str">
        <f t="shared" si="12"/>
        <v>344.</v>
      </c>
      <c r="F345" s="19" t="s">
        <v>13</v>
      </c>
      <c r="G345" s="8" t="s">
        <v>410</v>
      </c>
      <c r="H345" s="6" t="s">
        <v>425</v>
      </c>
      <c r="J345" s="21" t="str">
        <f t="shared" si="13"/>
        <v>NtrDontSt344.PQTC.27.03.26</v>
      </c>
      <c r="L345" s="19" t="str">
        <f t="shared" si="14"/>
        <v>344 NtrDontSt344.PQTC.27.03.26 Dont_Starve_Циклоп-олень</v>
      </c>
    </row>
    <row r="346" spans="1:12">
      <c r="A346" s="5">
        <v>345</v>
      </c>
      <c r="C346" s="6" t="s">
        <v>40</v>
      </c>
      <c r="D346" s="7" t="s">
        <v>426</v>
      </c>
      <c r="E346" s="6" t="str">
        <f>A346&amp;"."</f>
        <v>345.</v>
      </c>
      <c r="F346" s="19" t="s">
        <v>13</v>
      </c>
      <c r="G346" s="8" t="s">
        <v>427</v>
      </c>
      <c r="H346" s="6" t="s">
        <v>428</v>
      </c>
      <c r="J346" s="21" t="str">
        <f>C346&amp;D346&amp;E346&amp;F346&amp;G346</f>
        <v>CupICARUS345.PQTC.28.03.26</v>
      </c>
      <c r="L346" s="19" t="str">
        <f>A346&amp;" "&amp;C346&amp;D346&amp;E346&amp;F346&amp;G346&amp;" "&amp;H346</f>
        <v>345 CupICARUS345.PQTC.28.03.26 ICARUS_Обложка_1</v>
      </c>
    </row>
    <row r="347" spans="1:12">
      <c r="A347" s="5">
        <v>346</v>
      </c>
      <c r="C347" s="6" t="s">
        <v>40</v>
      </c>
      <c r="D347" s="7" t="s">
        <v>426</v>
      </c>
      <c r="E347" s="6" t="str">
        <f>A347&amp;"."</f>
        <v>346.</v>
      </c>
      <c r="F347" s="19" t="s">
        <v>13</v>
      </c>
      <c r="G347" s="8" t="s">
        <v>427</v>
      </c>
      <c r="H347" s="6" t="s">
        <v>429</v>
      </c>
      <c r="J347" s="21" t="str">
        <f>C347&amp;D347&amp;E347&amp;F347&amp;G347</f>
        <v>CupICARUS346.PQTC.28.03.26</v>
      </c>
      <c r="L347" s="19" t="str">
        <f>A347&amp;" "&amp;C347&amp;D347&amp;E347&amp;F347&amp;G347&amp;" "&amp;H347</f>
        <v>346 CupICARUS346.PQTC.28.03.26 ICARUS_Обложка_2</v>
      </c>
    </row>
    <row r="348" spans="1:12">
      <c r="A348" s="5">
        <v>347</v>
      </c>
      <c r="C348" s="6" t="s">
        <v>40</v>
      </c>
      <c r="D348" s="7" t="s">
        <v>426</v>
      </c>
      <c r="E348" s="6" t="str">
        <f>A348&amp;"."</f>
        <v>347.</v>
      </c>
      <c r="F348" s="19" t="s">
        <v>13</v>
      </c>
      <c r="G348" s="8" t="s">
        <v>427</v>
      </c>
      <c r="H348" s="6" t="s">
        <v>430</v>
      </c>
      <c r="J348" s="21" t="str">
        <f>C348&amp;D348&amp;E348&amp;F348&amp;G348</f>
        <v>CupICARUS347.PQTC.28.03.26</v>
      </c>
      <c r="L348" s="19" t="str">
        <f>A348&amp;" "&amp;C348&amp;D348&amp;E348&amp;F348&amp;G348&amp;" "&amp;H348</f>
        <v>347 CupICARUS347.PQTC.28.03.26 ICARUS_Обложка_3</v>
      </c>
    </row>
    <row r="349" spans="1:12">
      <c r="A349" s="5">
        <v>348</v>
      </c>
      <c r="C349" s="6" t="s">
        <v>40</v>
      </c>
      <c r="D349" s="7" t="s">
        <v>426</v>
      </c>
      <c r="E349" s="6" t="str">
        <f>A349&amp;"."</f>
        <v>348.</v>
      </c>
      <c r="F349" s="19" t="s">
        <v>13</v>
      </c>
      <c r="G349" s="8" t="s">
        <v>427</v>
      </c>
      <c r="H349" s="6" t="s">
        <v>431</v>
      </c>
      <c r="J349" s="21" t="str">
        <f>C349&amp;D349&amp;E349&amp;F349&amp;G349</f>
        <v>CupICARUS348.PQTC.28.03.26</v>
      </c>
      <c r="L349" s="19" t="str">
        <f>A349&amp;" "&amp;C349&amp;D349&amp;E349&amp;F349&amp;G349&amp;" "&amp;H349</f>
        <v>348 CupICARUS348.PQTC.28.03.26 ICARUS_Обложка_4</v>
      </c>
    </row>
    <row r="350" spans="1:12">
      <c r="A350" s="5">
        <v>349</v>
      </c>
      <c r="C350" s="6" t="s">
        <v>40</v>
      </c>
      <c r="D350" s="7" t="s">
        <v>426</v>
      </c>
      <c r="E350" s="6" t="str">
        <f>A350&amp;"."</f>
        <v>349.</v>
      </c>
      <c r="F350" s="19" t="s">
        <v>13</v>
      </c>
      <c r="G350" s="8" t="s">
        <v>427</v>
      </c>
      <c r="H350" s="6" t="s">
        <v>432</v>
      </c>
      <c r="J350" s="21" t="str">
        <f>C350&amp;D350&amp;E350&amp;F350&amp;G350</f>
        <v>CupICARUS349.PQTC.28.03.26</v>
      </c>
      <c r="L350" s="19" t="str">
        <f>A350&amp;" "&amp;C350&amp;D350&amp;E350&amp;F350&amp;G350&amp;" "&amp;H350</f>
        <v>349 CupICARUS349.PQTC.28.03.26 ICARUS_Обложка_5</v>
      </c>
    </row>
    <row r="351" spans="1:12">
      <c r="A351" s="5">
        <v>350</v>
      </c>
      <c r="C351" s="6" t="s">
        <v>40</v>
      </c>
      <c r="D351" s="7" t="s">
        <v>426</v>
      </c>
      <c r="E351" s="6" t="str">
        <f>A351&amp;"."</f>
        <v>350.</v>
      </c>
      <c r="F351" s="19" t="s">
        <v>13</v>
      </c>
      <c r="G351" s="8" t="s">
        <v>427</v>
      </c>
      <c r="H351" s="6" t="s">
        <v>433</v>
      </c>
      <c r="J351" s="21" t="str">
        <f>C351&amp;D351&amp;E351&amp;F351&amp;G351</f>
        <v>CupICARUS350.PQTC.28.03.26</v>
      </c>
      <c r="L351" s="19" t="str">
        <f>A351&amp;" "&amp;C351&amp;D351&amp;E351&amp;F351&amp;G351&amp;" "&amp;H351</f>
        <v>350 CupICARUS350.PQTC.28.03.26 ICARUS_Обложка_6</v>
      </c>
    </row>
    <row r="352" spans="1:12">
      <c r="A352" s="5">
        <v>351</v>
      </c>
      <c r="C352" s="6" t="s">
        <v>40</v>
      </c>
      <c r="D352" s="7" t="s">
        <v>426</v>
      </c>
      <c r="E352" s="6" t="str">
        <f>A352&amp;"."</f>
        <v>351.</v>
      </c>
      <c r="F352" s="19" t="s">
        <v>13</v>
      </c>
      <c r="G352" s="8" t="s">
        <v>427</v>
      </c>
      <c r="H352" s="6" t="s">
        <v>434</v>
      </c>
      <c r="J352" s="21" t="str">
        <f>C352&amp;D352&amp;E352&amp;F352&amp;G352</f>
        <v>CupICARUS351.PQTC.28.03.26</v>
      </c>
      <c r="L352" s="19" t="str">
        <f>A352&amp;" "&amp;C352&amp;D352&amp;E352&amp;F352&amp;G352&amp;" "&amp;H352</f>
        <v>351 CupICARUS351.PQTC.28.03.26 ICARUS_Обложка_7</v>
      </c>
    </row>
    <row r="353" spans="1:12">
      <c r="A353" s="5">
        <v>352</v>
      </c>
      <c r="C353" s="6" t="s">
        <v>40</v>
      </c>
      <c r="D353" s="7" t="s">
        <v>426</v>
      </c>
      <c r="E353" s="6" t="str">
        <f>A353&amp;"."</f>
        <v>352.</v>
      </c>
      <c r="F353" s="19" t="s">
        <v>13</v>
      </c>
      <c r="G353" s="8" t="s">
        <v>427</v>
      </c>
      <c r="H353" s="6" t="s">
        <v>435</v>
      </c>
      <c r="J353" s="21" t="str">
        <f>C353&amp;D353&amp;E353&amp;F353&amp;G353</f>
        <v>CupICARUS352.PQTC.28.03.26</v>
      </c>
      <c r="L353" s="19" t="str">
        <f>A353&amp;" "&amp;C353&amp;D353&amp;E353&amp;F353&amp;G353&amp;" "&amp;H353</f>
        <v>352 CupICARUS352.PQTC.28.03.26 ICARUS_Обложка_8</v>
      </c>
    </row>
    <row r="354" spans="1:12">
      <c r="A354" s="5">
        <v>353</v>
      </c>
      <c r="C354" s="6" t="s">
        <v>40</v>
      </c>
      <c r="D354" s="7" t="s">
        <v>426</v>
      </c>
      <c r="E354" s="6" t="str">
        <f>A354&amp;"."</f>
        <v>353.</v>
      </c>
      <c r="F354" s="19" t="s">
        <v>13</v>
      </c>
      <c r="G354" s="8" t="s">
        <v>427</v>
      </c>
      <c r="H354" s="6" t="s">
        <v>436</v>
      </c>
      <c r="J354" s="21" t="str">
        <f>C354&amp;D354&amp;E354&amp;F354&amp;G354</f>
        <v>CupICARUS353.PQTC.28.03.26</v>
      </c>
      <c r="L354" s="19" t="str">
        <f>A354&amp;" "&amp;C354&amp;D354&amp;E354&amp;F354&amp;G354&amp;" "&amp;H354</f>
        <v>353 CupICARUS353.PQTC.28.03.26 ICARUS_Обложка_9</v>
      </c>
    </row>
    <row r="355" spans="1:12">
      <c r="A355" s="5">
        <v>354</v>
      </c>
      <c r="C355" s="6" t="s">
        <v>40</v>
      </c>
      <c r="D355" s="7" t="s">
        <v>426</v>
      </c>
      <c r="E355" s="6" t="str">
        <f>A355&amp;"."</f>
        <v>354.</v>
      </c>
      <c r="F355" s="19" t="s">
        <v>13</v>
      </c>
      <c r="G355" s="8" t="s">
        <v>427</v>
      </c>
      <c r="H355" s="6" t="s">
        <v>437</v>
      </c>
      <c r="J355" s="21" t="str">
        <f>C355&amp;D355&amp;E355&amp;F355&amp;G355</f>
        <v>CupICARUS354.PQTC.28.03.26</v>
      </c>
      <c r="L355" s="19" t="str">
        <f>A355&amp;" "&amp;C355&amp;D355&amp;E355&amp;F355&amp;G355&amp;" "&amp;H355</f>
        <v>354 CupICARUS354.PQTC.28.03.26 ICARUS_Обложка_10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526315789474" defaultRowHeight="14.4" outlineLevelCol="1"/>
  <cols>
    <col min="1" max="1" width="45.1052631578947" style="1" customWidth="1"/>
    <col min="2" max="2" width="31.8859649122807" style="1" customWidth="1"/>
    <col min="3" max="16384" width="9.10526315789474" style="1"/>
  </cols>
  <sheetData>
    <row r="1" ht="16.35" spans="1:2">
      <c r="A1" s="2" t="s">
        <v>438</v>
      </c>
      <c r="B1" s="2" t="s">
        <v>439</v>
      </c>
    </row>
    <row r="2" ht="16.35" spans="1:2">
      <c r="A2" s="3" t="s">
        <v>440</v>
      </c>
      <c r="B2" s="3" t="s">
        <v>441</v>
      </c>
    </row>
    <row r="3" ht="16.35" spans="1:2">
      <c r="A3" s="4" t="s">
        <v>442</v>
      </c>
      <c r="B3" s="4" t="s">
        <v>443</v>
      </c>
    </row>
    <row r="4" ht="16.35" spans="1:2">
      <c r="A4" s="4" t="s">
        <v>444</v>
      </c>
      <c r="B4" s="4" t="s">
        <v>445</v>
      </c>
    </row>
    <row r="5" ht="16.35" spans="1:2">
      <c r="A5" s="4" t="s">
        <v>446</v>
      </c>
      <c r="B5" s="4" t="s">
        <v>447</v>
      </c>
    </row>
    <row r="6" ht="16.35" spans="1:2">
      <c r="A6" s="3" t="s">
        <v>448</v>
      </c>
      <c r="B6" s="3" t="s">
        <v>449</v>
      </c>
    </row>
    <row r="7" ht="16.35" spans="1:2">
      <c r="A7" s="4" t="s">
        <v>450</v>
      </c>
      <c r="B7" s="4" t="s">
        <v>451</v>
      </c>
    </row>
    <row r="8" ht="16.35" spans="1:2">
      <c r="A8" s="4" t="s">
        <v>452</v>
      </c>
      <c r="B8" s="4" t="s">
        <v>453</v>
      </c>
    </row>
    <row r="9" ht="16.35" spans="1:2">
      <c r="A9" s="4" t="s">
        <v>454</v>
      </c>
      <c r="B9" s="4" t="s">
        <v>455</v>
      </c>
    </row>
    <row r="10" ht="16.35" spans="1:2">
      <c r="A10" s="4" t="s">
        <v>456</v>
      </c>
      <c r="B10" s="4" t="s">
        <v>457</v>
      </c>
    </row>
    <row r="11" ht="16.35" spans="1:2">
      <c r="A11" s="4" t="s">
        <v>458</v>
      </c>
      <c r="B11" s="4" t="s">
        <v>459</v>
      </c>
    </row>
    <row r="12" ht="16.35" spans="1:2">
      <c r="A12" s="4" t="s">
        <v>460</v>
      </c>
      <c r="B12" s="4" t="s">
        <v>461</v>
      </c>
    </row>
    <row r="13" ht="16.35" spans="1:2">
      <c r="A13" s="4" t="s">
        <v>462</v>
      </c>
      <c r="B13" s="4" t="s">
        <v>463</v>
      </c>
    </row>
    <row r="14" ht="16.35" spans="1:2">
      <c r="A14" s="4" t="s">
        <v>464</v>
      </c>
      <c r="B14" s="4" t="s">
        <v>465</v>
      </c>
    </row>
    <row r="15" ht="16.35" spans="1:2">
      <c r="A15" s="3" t="s">
        <v>466</v>
      </c>
      <c r="B15" s="3" t="s">
        <v>467</v>
      </c>
    </row>
    <row r="16" ht="16.35" spans="1:2">
      <c r="A16" s="4" t="s">
        <v>468</v>
      </c>
      <c r="B16" s="4" t="s">
        <v>19</v>
      </c>
    </row>
    <row r="17" ht="16.35" spans="1:2">
      <c r="A17" s="4" t="s">
        <v>469</v>
      </c>
      <c r="B17" s="4" t="s">
        <v>470</v>
      </c>
    </row>
    <row r="18" ht="16.35" spans="1:2">
      <c r="A18" s="3" t="s">
        <v>471</v>
      </c>
      <c r="B18" s="3" t="s">
        <v>472</v>
      </c>
    </row>
    <row r="19" ht="16.35" spans="1:2">
      <c r="A19" s="4" t="s">
        <v>473</v>
      </c>
      <c r="B19" s="4" t="s">
        <v>246</v>
      </c>
    </row>
    <row r="20" ht="16.35" spans="1:2">
      <c r="A20" s="4" t="s">
        <v>474</v>
      </c>
      <c r="B20" s="4" t="s">
        <v>475</v>
      </c>
    </row>
    <row r="21" ht="16.35" spans="1:2">
      <c r="A21" s="3" t="s">
        <v>476</v>
      </c>
      <c r="B21" s="3" t="s">
        <v>477</v>
      </c>
    </row>
    <row r="22" ht="16.35" spans="1:2">
      <c r="A22" s="4" t="s">
        <v>478</v>
      </c>
      <c r="B22" s="4" t="s">
        <v>10</v>
      </c>
    </row>
    <row r="23" ht="16.35" spans="1:2">
      <c r="A23" s="3" t="s">
        <v>479</v>
      </c>
      <c r="B23" s="3" t="s">
        <v>480</v>
      </c>
    </row>
    <row r="24" ht="16.35" spans="1:2">
      <c r="A24" s="4" t="s">
        <v>481</v>
      </c>
      <c r="B24" s="4" t="s">
        <v>482</v>
      </c>
    </row>
    <row r="25" ht="16.35" spans="1:2">
      <c r="A25" s="4" t="s">
        <v>483</v>
      </c>
      <c r="B25" s="4" t="s">
        <v>484</v>
      </c>
    </row>
    <row r="26" ht="16.35" spans="1:2">
      <c r="A26" s="3" t="s">
        <v>485</v>
      </c>
      <c r="B26" s="3" t="s">
        <v>486</v>
      </c>
    </row>
    <row r="27" ht="16.35" spans="1:2">
      <c r="A27" s="4" t="s">
        <v>487</v>
      </c>
      <c r="B27" s="4" t="s">
        <v>40</v>
      </c>
    </row>
    <row r="28" ht="16.35" spans="1:2">
      <c r="A28" s="3" t="s">
        <v>488</v>
      </c>
      <c r="B28" s="3" t="s">
        <v>489</v>
      </c>
    </row>
    <row r="29" ht="16.35" spans="1:2">
      <c r="A29" s="4" t="s">
        <v>490</v>
      </c>
      <c r="B29" s="4" t="s">
        <v>491</v>
      </c>
    </row>
    <row r="30" ht="16.35" spans="1:2">
      <c r="A30" s="4" t="s">
        <v>492</v>
      </c>
      <c r="B30" s="4" t="s">
        <v>493</v>
      </c>
    </row>
    <row r="31" ht="16.35" spans="1:2">
      <c r="A31" s="3" t="s">
        <v>494</v>
      </c>
      <c r="B31" s="3" t="s">
        <v>495</v>
      </c>
    </row>
    <row r="32" ht="16.35" spans="1:2">
      <c r="A32" s="4" t="s">
        <v>496</v>
      </c>
      <c r="B32" s="4" t="s">
        <v>497</v>
      </c>
    </row>
    <row r="33" ht="16.35" spans="1:2">
      <c r="A33" s="4" t="s">
        <v>498</v>
      </c>
      <c r="B33" s="4" t="s">
        <v>499</v>
      </c>
    </row>
    <row r="34" ht="16.35" spans="1:2">
      <c r="A34" s="3" t="s">
        <v>500</v>
      </c>
      <c r="B34" s="3" t="s">
        <v>501</v>
      </c>
    </row>
    <row r="35" ht="16.35" spans="1:2">
      <c r="A35" s="4" t="s">
        <v>502</v>
      </c>
      <c r="B35" s="4" t="s">
        <v>503</v>
      </c>
    </row>
    <row r="36" ht="16.35" spans="1:2">
      <c r="A36" s="4" t="s">
        <v>504</v>
      </c>
      <c r="B36" s="4" t="s">
        <v>505</v>
      </c>
    </row>
    <row r="37" ht="16.35" spans="1:2">
      <c r="A37" s="4" t="s">
        <v>506</v>
      </c>
      <c r="B37" s="4" t="s">
        <v>507</v>
      </c>
    </row>
    <row r="38" ht="16.35" spans="1:2">
      <c r="A38" s="4" t="s">
        <v>508</v>
      </c>
      <c r="B38" s="4" t="s">
        <v>509</v>
      </c>
    </row>
    <row r="39" ht="16.35" spans="1:2">
      <c r="A39" s="4" t="s">
        <v>510</v>
      </c>
      <c r="B39" s="4" t="s">
        <v>511</v>
      </c>
    </row>
    <row r="40" ht="16.35" spans="1:2">
      <c r="A40" s="3" t="s">
        <v>512</v>
      </c>
      <c r="B40" s="3" t="s">
        <v>513</v>
      </c>
    </row>
    <row r="41" ht="16.35" spans="1:2">
      <c r="A41" s="4" t="s">
        <v>514</v>
      </c>
      <c r="B41" s="4" t="s">
        <v>515</v>
      </c>
    </row>
    <row r="42" ht="16.35" spans="1:2">
      <c r="A42" s="4" t="s">
        <v>516</v>
      </c>
      <c r="B42" s="4" t="s">
        <v>517</v>
      </c>
    </row>
    <row r="43" ht="16.35" spans="1:2">
      <c r="A43" s="3" t="s">
        <v>518</v>
      </c>
      <c r="B43" s="3" t="s">
        <v>519</v>
      </c>
    </row>
    <row r="44" ht="16.35" spans="1:2">
      <c r="A44" s="4" t="s">
        <v>520</v>
      </c>
      <c r="B44" s="4" t="s">
        <v>521</v>
      </c>
    </row>
    <row r="45" ht="16.35" spans="1:2">
      <c r="A45" s="4" t="s">
        <v>522</v>
      </c>
      <c r="B45" s="4" t="s">
        <v>523</v>
      </c>
    </row>
    <row r="46" ht="16.35" spans="1:2">
      <c r="A46" s="4" t="s">
        <v>524</v>
      </c>
      <c r="B46" s="4" t="s">
        <v>525</v>
      </c>
    </row>
    <row r="47" ht="16.35" spans="1:2">
      <c r="A47" s="4" t="s">
        <v>526</v>
      </c>
      <c r="B47" s="4" t="s">
        <v>527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2026-03-28T09:06:34Z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