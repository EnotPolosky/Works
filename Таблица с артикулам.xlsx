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<sst xmlns="http://schemas.openxmlformats.org/spreadsheetml/2006/main" count="1871" uniqueCount="487">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</sst>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13"/>
  <sheetViews>
    <sheetView tabSelected="1" topLeftCell="C286" workbookViewId="0">
      <selection activeCell="L313" sqref="L313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6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302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302" si="10">C258&amp;D258&amp;E258&amp;F258&amp;G258</f>
        <v>NtrAntaly257.PQTC.21.03.26</v>
      </c>
      <c r="L258" s="19" t="str">
        <f t="shared" ref="L258:L302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 t="shared" si="9"/>
        <v>279.</v>
      </c>
      <c r="F280" s="19" t="s">
        <v>13</v>
      </c>
      <c r="G280" s="8" t="s">
        <v>371</v>
      </c>
      <c r="H280" s="6" t="s">
        <v>372</v>
      </c>
      <c r="J280" s="21" t="str">
        <f t="shared" si="10"/>
        <v>NtrAntaly279.PQTC.25.03.26</v>
      </c>
      <c r="L280" s="19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19" t="s">
        <v>13</v>
      </c>
      <c r="G281" s="8" t="s">
        <v>365</v>
      </c>
      <c r="H281" s="6" t="s">
        <v>373</v>
      </c>
      <c r="J281" s="21" t="str">
        <f t="shared" si="10"/>
        <v>CupDBDGam280.PQTC.24.03.26</v>
      </c>
      <c r="L281" s="19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19" t="s">
        <v>13</v>
      </c>
      <c r="G282" s="8" t="s">
        <v>365</v>
      </c>
      <c r="H282" s="6" t="s">
        <v>374</v>
      </c>
      <c r="J282" s="21" t="str">
        <f t="shared" si="10"/>
        <v>CupDBDGam281.PQTC.24.03.26</v>
      </c>
      <c r="L282" s="19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19" t="s">
        <v>13</v>
      </c>
      <c r="G283" s="8" t="s">
        <v>365</v>
      </c>
      <c r="H283" s="6" t="s">
        <v>375</v>
      </c>
      <c r="J283" s="21" t="str">
        <f t="shared" si="10"/>
        <v>CupDBDGam282.PQTC.24.03.26</v>
      </c>
      <c r="L283" s="19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19" t="s">
        <v>13</v>
      </c>
      <c r="G284" s="8" t="s">
        <v>365</v>
      </c>
      <c r="H284" s="6" t="s">
        <v>376</v>
      </c>
      <c r="J284" s="21" t="str">
        <f t="shared" si="10"/>
        <v>CupDBDGam283.PQTC.24.03.26</v>
      </c>
      <c r="L284" s="19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19" t="s">
        <v>13</v>
      </c>
      <c r="G285" s="8" t="s">
        <v>365</v>
      </c>
      <c r="H285" s="6" t="s">
        <v>377</v>
      </c>
      <c r="J285" s="21" t="str">
        <f t="shared" si="10"/>
        <v>CupDBDGam284.PQTC.24.03.26</v>
      </c>
      <c r="L285" s="19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19" t="s">
        <v>13</v>
      </c>
      <c r="G286" s="8" t="s">
        <v>365</v>
      </c>
      <c r="H286" s="6" t="s">
        <v>378</v>
      </c>
      <c r="J286" s="21" t="str">
        <f t="shared" si="10"/>
        <v>CupDBDGam285.PQTC.24.03.26</v>
      </c>
      <c r="L286" s="19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19" t="s">
        <v>13</v>
      </c>
      <c r="G287" s="8" t="s">
        <v>365</v>
      </c>
      <c r="H287" s="6" t="s">
        <v>379</v>
      </c>
      <c r="J287" s="21" t="str">
        <f t="shared" si="10"/>
        <v>CupDBDGam286.PQTC.24.03.26</v>
      </c>
      <c r="L287" s="19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19" t="s">
        <v>13</v>
      </c>
      <c r="G288" s="8" t="s">
        <v>365</v>
      </c>
      <c r="H288" s="6" t="s">
        <v>380</v>
      </c>
      <c r="J288" s="21" t="str">
        <f t="shared" si="10"/>
        <v>CupDBDGam287.PQTC.24.03.26</v>
      </c>
      <c r="L288" s="19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19" t="s">
        <v>13</v>
      </c>
      <c r="G289" s="8" t="s">
        <v>365</v>
      </c>
      <c r="H289" s="6" t="s">
        <v>328</v>
      </c>
      <c r="J289" s="21" t="str">
        <f t="shared" si="10"/>
        <v>CupDBDGam288.PQTC.24.03.26</v>
      </c>
      <c r="L289" s="19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19" t="s">
        <v>13</v>
      </c>
      <c r="G290" s="8" t="s">
        <v>365</v>
      </c>
      <c r="H290" s="6" t="s">
        <v>381</v>
      </c>
      <c r="J290" s="21" t="str">
        <f t="shared" si="10"/>
        <v>CupDBDGam289.PQTC.24.03.26</v>
      </c>
      <c r="L290" s="19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19" t="s">
        <v>13</v>
      </c>
      <c r="G291" s="8" t="s">
        <v>365</v>
      </c>
      <c r="H291" s="6" t="s">
        <v>382</v>
      </c>
      <c r="J291" s="21" t="str">
        <f t="shared" si="10"/>
        <v>CupDBDGam290.PQTC.24.03.26</v>
      </c>
      <c r="L291" s="19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19" t="s">
        <v>13</v>
      </c>
      <c r="G292" s="8" t="s">
        <v>365</v>
      </c>
      <c r="H292" s="6" t="s">
        <v>383</v>
      </c>
      <c r="J292" s="21" t="str">
        <f t="shared" si="10"/>
        <v>CupDBDGam291.PQTC.24.03.26</v>
      </c>
      <c r="L292" s="19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19" t="s">
        <v>13</v>
      </c>
      <c r="G293" s="8" t="s">
        <v>365</v>
      </c>
      <c r="H293" s="6" t="s">
        <v>384</v>
      </c>
      <c r="J293" s="21" t="str">
        <f t="shared" si="10"/>
        <v>CupDBDGam292.PQTC.24.03.26</v>
      </c>
      <c r="L293" s="19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19" t="s">
        <v>13</v>
      </c>
      <c r="G294" s="8" t="s">
        <v>365</v>
      </c>
      <c r="H294" s="6" t="s">
        <v>385</v>
      </c>
      <c r="J294" s="21" t="str">
        <f t="shared" si="10"/>
        <v>CupDBDGam293.PQTC.24.03.26</v>
      </c>
      <c r="L294" s="19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19" t="s">
        <v>13</v>
      </c>
      <c r="G295" s="8" t="s">
        <v>365</v>
      </c>
      <c r="H295" s="6" t="s">
        <v>386</v>
      </c>
      <c r="J295" s="21" t="str">
        <f t="shared" si="10"/>
        <v>CupDBDGam294.PQTC.24.03.26</v>
      </c>
      <c r="L295" s="19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19" t="s">
        <v>13</v>
      </c>
      <c r="G296" s="8" t="s">
        <v>365</v>
      </c>
      <c r="H296" s="6" t="s">
        <v>387</v>
      </c>
      <c r="J296" s="21" t="str">
        <f t="shared" si="10"/>
        <v>CupDBDGam295.PQTC.24.03.26</v>
      </c>
      <c r="L296" s="19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19" t="s">
        <v>13</v>
      </c>
      <c r="G297" s="8" t="s">
        <v>365</v>
      </c>
      <c r="H297" s="6" t="s">
        <v>388</v>
      </c>
      <c r="J297" s="21" t="str">
        <f t="shared" si="10"/>
        <v>CupDBDGam296.PQTC.24.03.26</v>
      </c>
      <c r="L297" s="19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19" t="s">
        <v>13</v>
      </c>
      <c r="G298" s="8" t="s">
        <v>365</v>
      </c>
      <c r="H298" s="6" t="s">
        <v>389</v>
      </c>
      <c r="J298" s="21" t="str">
        <f t="shared" si="10"/>
        <v>CupDBDGam297.PQTC.24.03.26</v>
      </c>
      <c r="L298" s="19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19" t="s">
        <v>13</v>
      </c>
      <c r="G299" s="8" t="s">
        <v>365</v>
      </c>
      <c r="H299" s="6" t="s">
        <v>390</v>
      </c>
      <c r="J299" s="21" t="str">
        <f t="shared" si="10"/>
        <v>CupDBDGam298.PQTC.24.03.26</v>
      </c>
      <c r="L299" s="19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19" t="s">
        <v>13</v>
      </c>
      <c r="G300" s="8" t="s">
        <v>365</v>
      </c>
      <c r="H300" s="6" t="s">
        <v>391</v>
      </c>
      <c r="J300" s="21" t="str">
        <f t="shared" si="10"/>
        <v>CupDBDGam299.PQTC.24.03.26</v>
      </c>
      <c r="L300" s="19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19" t="s">
        <v>13</v>
      </c>
      <c r="G301" s="8" t="s">
        <v>365</v>
      </c>
      <c r="H301" s="6" t="s">
        <v>392</v>
      </c>
      <c r="J301" s="21" t="str">
        <f t="shared" si="10"/>
        <v>CupDBDGam300.PQTC.24.03.26</v>
      </c>
      <c r="L301" s="19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19" t="s">
        <v>13</v>
      </c>
      <c r="G302" s="8" t="s">
        <v>365</v>
      </c>
      <c r="H302" s="6" t="s">
        <v>393</v>
      </c>
      <c r="J302" s="21" t="str">
        <f t="shared" si="10"/>
        <v>CupDBDGam301.PQTC.24.03.26</v>
      </c>
      <c r="L302" s="19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>A303&amp;"."</f>
        <v>302.</v>
      </c>
      <c r="F303" s="19" t="s">
        <v>13</v>
      </c>
      <c r="G303" s="8" t="s">
        <v>371</v>
      </c>
      <c r="H303" s="6" t="s">
        <v>394</v>
      </c>
      <c r="J303" s="21" t="str">
        <f>C303&amp;D303&amp;E303&amp;F303&amp;G303</f>
        <v>NtrAntaly302.PQTC.25.03.26</v>
      </c>
      <c r="L303" s="19" t="str">
        <f>A303&amp;" "&amp;C303&amp;D303&amp;E303&amp;F303&amp;G303&amp;" "&amp;H303</f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>A304&amp;"."</f>
        <v>303.</v>
      </c>
      <c r="F304" s="19" t="s">
        <v>13</v>
      </c>
      <c r="G304" s="8" t="s">
        <v>371</v>
      </c>
      <c r="H304" s="6" t="s">
        <v>394</v>
      </c>
      <c r="J304" s="21" t="str">
        <f>C304&amp;D304&amp;E304&amp;F304&amp;G304</f>
        <v>NtrAntaly303.PQTC.25.03.26</v>
      </c>
      <c r="L304" s="19" t="str">
        <f>A304&amp;" "&amp;C304&amp;D304&amp;E304&amp;F304&amp;G304&amp;" "&amp;H304</f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>A305&amp;"."</f>
        <v>304.</v>
      </c>
      <c r="F305" s="19" t="s">
        <v>13</v>
      </c>
      <c r="G305" s="8" t="s">
        <v>371</v>
      </c>
      <c r="H305" s="6" t="s">
        <v>394</v>
      </c>
      <c r="J305" s="21" t="str">
        <f>C305&amp;D305&amp;E305&amp;F305&amp;G305</f>
        <v>NtrAntaly304.PQTC.25.03.26</v>
      </c>
      <c r="L305" s="19" t="str">
        <f>A305&amp;" "&amp;C305&amp;D305&amp;E305&amp;F305&amp;G305&amp;" "&amp;H305</f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>A306&amp;"."</f>
        <v>305.</v>
      </c>
      <c r="F306" s="19" t="s">
        <v>13</v>
      </c>
      <c r="G306" s="8" t="s">
        <v>371</v>
      </c>
      <c r="H306" s="6" t="s">
        <v>394</v>
      </c>
      <c r="J306" s="21" t="str">
        <f>C306&amp;D306&amp;E306&amp;F306&amp;G306</f>
        <v>NtrAntaly305.PQTC.25.03.26</v>
      </c>
      <c r="L306" s="19" t="str">
        <f>A306&amp;" "&amp;C306&amp;D306&amp;E306&amp;F306&amp;G306&amp;" "&amp;H306</f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>A307&amp;"."</f>
        <v>306.</v>
      </c>
      <c r="F307" s="19" t="s">
        <v>13</v>
      </c>
      <c r="G307" s="8" t="s">
        <v>371</v>
      </c>
      <c r="H307" s="6" t="s">
        <v>394</v>
      </c>
      <c r="J307" s="21" t="str">
        <f>C307&amp;D307&amp;E307&amp;F307&amp;G307</f>
        <v>NtrAntaly306.PQTC.25.03.26</v>
      </c>
      <c r="L307" s="19" t="str">
        <f>A307&amp;" "&amp;C307&amp;D307&amp;E307&amp;F307&amp;G307&amp;" "&amp;H307</f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>A308&amp;"."</f>
        <v>307.</v>
      </c>
      <c r="F308" s="19" t="s">
        <v>13</v>
      </c>
      <c r="G308" s="8" t="s">
        <v>371</v>
      </c>
      <c r="H308" s="6" t="s">
        <v>394</v>
      </c>
      <c r="J308" s="21" t="str">
        <f>C308&amp;D308&amp;E308&amp;F308&amp;G308</f>
        <v>NtrAntaly307.PQTC.25.03.26</v>
      </c>
      <c r="L308" s="19" t="str">
        <f>A308&amp;" "&amp;C308&amp;D308&amp;E308&amp;F308&amp;G308&amp;" "&amp;H308</f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>A309&amp;"."</f>
        <v>308.</v>
      </c>
      <c r="F309" s="19" t="s">
        <v>13</v>
      </c>
      <c r="G309" s="8" t="s">
        <v>371</v>
      </c>
      <c r="H309" s="6" t="s">
        <v>395</v>
      </c>
      <c r="J309" s="21" t="str">
        <f>C309&amp;D309&amp;E309&amp;F309&amp;G309</f>
        <v>NtrAntaly308.PQTC.25.03.26</v>
      </c>
      <c r="L309" s="19" t="str">
        <f>A309&amp;" "&amp;C309&amp;D309&amp;E309&amp;F309&amp;G309&amp;" "&amp;H309</f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>A310&amp;"."</f>
        <v>309.</v>
      </c>
      <c r="F310" s="19" t="s">
        <v>13</v>
      </c>
      <c r="G310" s="8" t="s">
        <v>371</v>
      </c>
      <c r="H310" s="6" t="s">
        <v>395</v>
      </c>
      <c r="J310" s="21" t="str">
        <f>C310&amp;D310&amp;E310&amp;F310&amp;G310</f>
        <v>NtrAntaly309.PQTC.25.03.26</v>
      </c>
      <c r="L310" s="19" t="str">
        <f>A310&amp;" "&amp;C310&amp;D310&amp;E310&amp;F310&amp;G310&amp;" "&amp;H310</f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>A311&amp;"."</f>
        <v>310.</v>
      </c>
      <c r="F311" s="19" t="s">
        <v>13</v>
      </c>
      <c r="G311" s="8" t="s">
        <v>371</v>
      </c>
      <c r="H311" s="6" t="s">
        <v>395</v>
      </c>
      <c r="J311" s="21" t="str">
        <f>C311&amp;D311&amp;E311&amp;F311&amp;G311</f>
        <v>NtrAntaly310.PQTC.25.03.26</v>
      </c>
      <c r="L311" s="19" t="str">
        <f>A311&amp;" "&amp;C311&amp;D311&amp;E311&amp;F311&amp;G311&amp;" "&amp;H311</f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>A312&amp;"."</f>
        <v>311.</v>
      </c>
      <c r="F312" s="19" t="s">
        <v>13</v>
      </c>
      <c r="G312" s="8" t="s">
        <v>371</v>
      </c>
      <c r="H312" s="6" t="s">
        <v>395</v>
      </c>
      <c r="J312" s="21" t="str">
        <f>C312&amp;D312&amp;E312&amp;F312&amp;G312</f>
        <v>NtrAntaly311.PQTC.25.03.26</v>
      </c>
      <c r="L312" s="19" t="str">
        <f>A312&amp;" "&amp;C312&amp;D312&amp;E312&amp;F312&amp;G312&amp;" "&amp;H312</f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>A313&amp;"."</f>
        <v>312.</v>
      </c>
      <c r="F313" s="19" t="s">
        <v>13</v>
      </c>
      <c r="G313" s="8" t="s">
        <v>371</v>
      </c>
      <c r="H313" s="6" t="s">
        <v>396</v>
      </c>
      <c r="J313" s="21" t="str">
        <f>C313&amp;D313&amp;E313&amp;F313&amp;G313</f>
        <v>NtrAntaly312.PQTC.25.03.26</v>
      </c>
      <c r="L313" s="19" t="str">
        <f>A313&amp;" "&amp;C313&amp;D313&amp;E313&amp;F313&amp;G313&amp;" "&amp;H313</f>
        <v>312 NtrAntaly312.PQTC.25.03.26 Анталья башня с часами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397</v>
      </c>
      <c r="B1" s="2" t="s">
        <v>398</v>
      </c>
    </row>
    <row r="2" ht="16.35" spans="1:2">
      <c r="A2" s="3" t="s">
        <v>399</v>
      </c>
      <c r="B2" s="3" t="s">
        <v>400</v>
      </c>
    </row>
    <row r="3" ht="16.35" spans="1:2">
      <c r="A3" s="4" t="s">
        <v>401</v>
      </c>
      <c r="B3" s="4" t="s">
        <v>402</v>
      </c>
    </row>
    <row r="4" ht="16.35" spans="1:2">
      <c r="A4" s="4" t="s">
        <v>403</v>
      </c>
      <c r="B4" s="4" t="s">
        <v>404</v>
      </c>
    </row>
    <row r="5" ht="31.95" spans="1:2">
      <c r="A5" s="4" t="s">
        <v>405</v>
      </c>
      <c r="B5" s="4" t="s">
        <v>406</v>
      </c>
    </row>
    <row r="6" ht="16.35" spans="1:2">
      <c r="A6" s="3" t="s">
        <v>407</v>
      </c>
      <c r="B6" s="3" t="s">
        <v>408</v>
      </c>
    </row>
    <row r="7" ht="16.35" spans="1:2">
      <c r="A7" s="4" t="s">
        <v>409</v>
      </c>
      <c r="B7" s="4" t="s">
        <v>410</v>
      </c>
    </row>
    <row r="8" ht="16.35" spans="1:2">
      <c r="A8" s="4" t="s">
        <v>411</v>
      </c>
      <c r="B8" s="4" t="s">
        <v>412</v>
      </c>
    </row>
    <row r="9" ht="16.35" spans="1:2">
      <c r="A9" s="4" t="s">
        <v>413</v>
      </c>
      <c r="B9" s="4" t="s">
        <v>414</v>
      </c>
    </row>
    <row r="10" ht="16.35" spans="1:2">
      <c r="A10" s="4" t="s">
        <v>415</v>
      </c>
      <c r="B10" s="4" t="s">
        <v>416</v>
      </c>
    </row>
    <row r="11" ht="16.35" spans="1:2">
      <c r="A11" s="4" t="s">
        <v>417</v>
      </c>
      <c r="B11" s="4" t="s">
        <v>418</v>
      </c>
    </row>
    <row r="12" ht="16.35" spans="1:2">
      <c r="A12" s="4" t="s">
        <v>419</v>
      </c>
      <c r="B12" s="4" t="s">
        <v>420</v>
      </c>
    </row>
    <row r="13" ht="16.35" spans="1:2">
      <c r="A13" s="4" t="s">
        <v>421</v>
      </c>
      <c r="B13" s="4" t="s">
        <v>422</v>
      </c>
    </row>
    <row r="14" ht="16.35" spans="1:2">
      <c r="A14" s="4" t="s">
        <v>423</v>
      </c>
      <c r="B14" s="4" t="s">
        <v>424</v>
      </c>
    </row>
    <row r="15" ht="16.35" spans="1:2">
      <c r="A15" s="3" t="s">
        <v>425</v>
      </c>
      <c r="B15" s="3" t="s">
        <v>426</v>
      </c>
    </row>
    <row r="16" ht="16.35" spans="1:2">
      <c r="A16" s="4" t="s">
        <v>427</v>
      </c>
      <c r="B16" s="4" t="s">
        <v>19</v>
      </c>
    </row>
    <row r="17" ht="16.35" spans="1:2">
      <c r="A17" s="4" t="s">
        <v>428</v>
      </c>
      <c r="B17" s="4" t="s">
        <v>429</v>
      </c>
    </row>
    <row r="18" ht="16.35" spans="1:2">
      <c r="A18" s="3" t="s">
        <v>430</v>
      </c>
      <c r="B18" s="3" t="s">
        <v>431</v>
      </c>
    </row>
    <row r="19" ht="16.35" spans="1:2">
      <c r="A19" s="4" t="s">
        <v>432</v>
      </c>
      <c r="B19" s="4" t="s">
        <v>246</v>
      </c>
    </row>
    <row r="20" ht="16.35" spans="1:2">
      <c r="A20" s="4" t="s">
        <v>433</v>
      </c>
      <c r="B20" s="4" t="s">
        <v>434</v>
      </c>
    </row>
    <row r="21" ht="16.35" spans="1:2">
      <c r="A21" s="3" t="s">
        <v>435</v>
      </c>
      <c r="B21" s="3" t="s">
        <v>436</v>
      </c>
    </row>
    <row r="22" ht="16.35" spans="1:2">
      <c r="A22" s="4" t="s">
        <v>437</v>
      </c>
      <c r="B22" s="4" t="s">
        <v>10</v>
      </c>
    </row>
    <row r="23" ht="16.35" spans="1:2">
      <c r="A23" s="3" t="s">
        <v>438</v>
      </c>
      <c r="B23" s="3" t="s">
        <v>439</v>
      </c>
    </row>
    <row r="24" ht="16.35" spans="1:2">
      <c r="A24" s="4" t="s">
        <v>440</v>
      </c>
      <c r="B24" s="4" t="s">
        <v>441</v>
      </c>
    </row>
    <row r="25" ht="16.35" spans="1:2">
      <c r="A25" s="4" t="s">
        <v>442</v>
      </c>
      <c r="B25" s="4" t="s">
        <v>443</v>
      </c>
    </row>
    <row r="26" ht="16.35" spans="1:2">
      <c r="A26" s="3" t="s">
        <v>444</v>
      </c>
      <c r="B26" s="3" t="s">
        <v>445</v>
      </c>
    </row>
    <row r="27" ht="16.35" spans="1:2">
      <c r="A27" s="4" t="s">
        <v>446</v>
      </c>
      <c r="B27" s="4" t="s">
        <v>40</v>
      </c>
    </row>
    <row r="28" ht="16.35" spans="1:2">
      <c r="A28" s="3" t="s">
        <v>447</v>
      </c>
      <c r="B28" s="3" t="s">
        <v>448</v>
      </c>
    </row>
    <row r="29" ht="16.35" spans="1:2">
      <c r="A29" s="4" t="s">
        <v>449</v>
      </c>
      <c r="B29" s="4" t="s">
        <v>450</v>
      </c>
    </row>
    <row r="30" ht="16.35" spans="1:2">
      <c r="A30" s="4" t="s">
        <v>451</v>
      </c>
      <c r="B30" s="4" t="s">
        <v>452</v>
      </c>
    </row>
    <row r="31" ht="16.35" spans="1:2">
      <c r="A31" s="3" t="s">
        <v>453</v>
      </c>
      <c r="B31" s="3" t="s">
        <v>454</v>
      </c>
    </row>
    <row r="32" ht="16.35" spans="1:2">
      <c r="A32" s="4" t="s">
        <v>455</v>
      </c>
      <c r="B32" s="4" t="s">
        <v>456</v>
      </c>
    </row>
    <row r="33" ht="16.35" spans="1:2">
      <c r="A33" s="4" t="s">
        <v>457</v>
      </c>
      <c r="B33" s="4" t="s">
        <v>458</v>
      </c>
    </row>
    <row r="34" ht="16.35" spans="1:2">
      <c r="A34" s="3" t="s">
        <v>459</v>
      </c>
      <c r="B34" s="3" t="s">
        <v>460</v>
      </c>
    </row>
    <row r="35" ht="16.35" spans="1:2">
      <c r="A35" s="4" t="s">
        <v>461</v>
      </c>
      <c r="B35" s="4" t="s">
        <v>462</v>
      </c>
    </row>
    <row r="36" ht="16.35" spans="1:2">
      <c r="A36" s="4" t="s">
        <v>463</v>
      </c>
      <c r="B36" s="4" t="s">
        <v>464</v>
      </c>
    </row>
    <row r="37" ht="16.35" spans="1:2">
      <c r="A37" s="4" t="s">
        <v>465</v>
      </c>
      <c r="B37" s="4" t="s">
        <v>466</v>
      </c>
    </row>
    <row r="38" ht="16.35" spans="1:2">
      <c r="A38" s="4" t="s">
        <v>467</v>
      </c>
      <c r="B38" s="4" t="s">
        <v>468</v>
      </c>
    </row>
    <row r="39" ht="16.35" spans="1:2">
      <c r="A39" s="4" t="s">
        <v>469</v>
      </c>
      <c r="B39" s="4" t="s">
        <v>470</v>
      </c>
    </row>
    <row r="40" ht="16.35" spans="1:2">
      <c r="A40" s="3" t="s">
        <v>471</v>
      </c>
      <c r="B40" s="3" t="s">
        <v>472</v>
      </c>
    </row>
    <row r="41" ht="16.35" spans="1:2">
      <c r="A41" s="4" t="s">
        <v>473</v>
      </c>
      <c r="B41" s="4" t="s">
        <v>474</v>
      </c>
    </row>
    <row r="42" ht="16.35" spans="1:2">
      <c r="A42" s="4" t="s">
        <v>475</v>
      </c>
      <c r="B42" s="4" t="s">
        <v>476</v>
      </c>
    </row>
    <row r="43" ht="16.35" spans="1:2">
      <c r="A43" s="3" t="s">
        <v>477</v>
      </c>
      <c r="B43" s="3" t="s">
        <v>478</v>
      </c>
    </row>
    <row r="44" ht="16.35" spans="1:2">
      <c r="A44" s="4" t="s">
        <v>479</v>
      </c>
      <c r="B44" s="4" t="s">
        <v>480</v>
      </c>
    </row>
    <row r="45" ht="16.35" spans="1:2">
      <c r="A45" s="4" t="s">
        <v>481</v>
      </c>
      <c r="B45" s="4" t="s">
        <v>482</v>
      </c>
    </row>
    <row r="46" ht="16.35" spans="1:2">
      <c r="A46" s="4" t="s">
        <v>483</v>
      </c>
      <c r="B46" s="4" t="s">
        <v>484</v>
      </c>
    </row>
    <row r="47" ht="16.35" spans="1:2">
      <c r="A47" s="4" t="s">
        <v>485</v>
      </c>
      <c r="B47" s="4" t="s">
        <v>486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2026-03-25T19:34:15Z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