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<sst xmlns="http://schemas.openxmlformats.org/spreadsheetml/2006/main" count="2396" uniqueCount="575">
  <si>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</si>
  <si>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</si>
  <si>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</si>
  <si>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</si>
  <si>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</si>
  <si>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</si>
  <si>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</si>
  <si>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</si>
  <si>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</si>
  <si>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</si>
  <si>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</si>
  <si>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</si>
  <si>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</si>
  <si>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</si>
  <si>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</si>
  <si>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</si>
  <si>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</si>
  <si>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</si>
  <si>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</si>
  <si>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</si>
  <si>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</si>
  <si>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</si>
  <si>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</si>
  <si>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</si>
  <si>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</si>
  <si>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</si>
  <si>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</si>
  <si>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</si>
  <si>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</si>
  <si>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</si>
  <si>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</si>
  <si>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</si>
  <si>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</si>
  <si>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</si>
  <si>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</si>
  <si>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</si>
  <si>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</si>
  <si>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</si>
  <si>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</si>
  <si>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</si>
  <si>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</si>
  <si>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</si>
  <si>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</si>
  <si>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</si>
  <si>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</si>
  <si>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</si>
  <si>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</si>
  <si>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</si>
  <si>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</si>
  <si>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</si>
  <si>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</si>
  <si>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</si>
  <si>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</si>
  <si>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</si>
  <si>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</si>
  <si>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</si>
  <si>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</si>
  <si>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</si>
  <si>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</si>
  <si>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</si>
  <si>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</si>
  <si>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</si>
  <si>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</si>
  <si>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</si>
  <si>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</si>
  <si>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</si>
  <si>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</si>
  <si>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</si>
  <si>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</si>
  <si>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</si>
  <si>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</si>
  <si>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</si>
  <si>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</si>
  <si>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</si>
  <si>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</si>
  <si>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</si>
  <si>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</si>
  <si>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</si>
  <si>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</si>
  <si>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</si>
  <si>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</si>
  <si>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</si>
  <si>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</si>
  <si>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</si>
  <si>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</si>
  <si>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</si>
  <si>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</si>
  <si>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</si>
  <si>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</si>
  <si>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</si>
  <si>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</si>
  <si>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</si>
  <si>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</si>
  <si>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</si>
  <si>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</si>
  <si>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</si>
  <si>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</si>
  <si>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</si>
  <si>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</si>
  <si>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</si>
  <si>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</si>
  <si>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</si>
  <si>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</si>
  <si>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</si>
  <si>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</si>
  <si>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</si>
  <si>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</si>
  <si>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</si>
  <si>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</si>
  <si>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</si>
  <si>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</si>
  <si>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</si>
  <si>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</si>
  <si>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</si>
  <si>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</si>
  <si>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</si>
  <si>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</si>
  <si>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</si>
  <si>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</si>
  <si>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</si>
  <si>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</si>
  <si>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</si>
  <si>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</si>
  <si>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</si>
  <si>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</si>
  <si>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</si>
  <si>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</si>
  <si>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</si>
  <si>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</si>
  <si>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</si>
  <si>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</si>
  <si>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</si>
  <si>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</si>
  <si>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</si>
  <si>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</si>
  <si>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</si>
  <si>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</si>
  <si>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</si>
  <si>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</si>
  <si>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</si>
  <si>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</si>
  <si>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</si>
  <si>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</si>
  <si>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</si>
  <si>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</si>
  <si>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</si>
  <si>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</si>
  <si>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</si>
  <si>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</si>
  <si>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</si>
  <si>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</si>
  <si>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</si>
  <si>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</si>
  <si>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</si>
  <si>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</si>
  <si>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</si>
  <si>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</si>
  <si>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</si>
  <si>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</si>
  <si>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</si>
  <si>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</si>
  <si>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</si>
  <si>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</si>
  <si>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</si>
  <si>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</si>
  <si>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</si>
  <si>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</si>
  <si>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</si>
  <si>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</si>
  <si>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</si>
  <si>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</si>
  <si>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</si>
  <si>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</si>
  <si>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</si>
  <si>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</si>
  <si>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</si>
  <si>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</si>
  <si>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</si>
  <si>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</si>
  <si>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</si>
  <si>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</si>
  <si>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</si>
  <si>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</si>
  <si>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</si>
  <si>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</si>
  <si>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</si>
  <si>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</si>
  <si>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</si>
  <si>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</si>
  <si>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</si>
  <si>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</si>
  <si>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</si>
  <si>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</si>
  <si>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</si>
  <si>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</si>
  <si>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</si>
  <si>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</si>
  <si>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</si>
  <si>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</si>
  <si>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</si>
  <si>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</si>
  <si>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</si>
  <si>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</si>
  <si>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</si>
  <si>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</si>
  <si>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</si>
  <si>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</si>
  <si>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</si>
  <si>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</si>
  <si>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</si>
  <si>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</si>
  <si>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</si>
  <si>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</si>
  <si>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</si>
  <si>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</si>
  <si>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</si>
  <si>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</si>
  <si>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</si>
  <si>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</si>
  <si>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</si>
  <si>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</si>
  <si>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</si>
  <si>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</si>
  <si>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</si>
  <si>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</si>
  <si>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</si>
  <si>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</si>
  <si>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</si>
  <si>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</si>
  <si>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</si>
  <si>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</si>
  <si>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</si>
  <si>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</si>
  <si>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</si>
  <si>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</si>
  <si>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</si>
  <si>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</si>
  <si>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</si>
  <si>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</si>
  <si>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</si>
  <si>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</si>
  <si>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</si>
  <si>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</si>
  <si>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</si>
  <si>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</si>
  <si>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</si>
  <si>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</si>
  <si>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</si>
  <si>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</si>
  <si>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</si>
  <si>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</si>
  <si>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</si>
  <si>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</si>
  <si>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</si>
  <si>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</si>
  <si>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</si>
  <si>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</si>
  <si>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</si>
  <si>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</si>
  <si>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</si>
  <si>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</si>
  <si>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</si>
  <si>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</si>
  <si>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</si>
  <si>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</si>
  <si>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</si>
  <si>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</si>
  <si>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</si>
  <si>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</si>
  <si>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</si>
  <si>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</si>
  <si>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</si>
  <si>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</si>
  <si>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</si>
  <si>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</si>
  <si>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</si>
  <si>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</si>
  <si>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</si>
  <si>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</si>
  <si>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</si>
  <si>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</si>
  <si>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</si>
  <si>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</si>
  <si>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</si>
  <si>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</si>
  <si>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</si>
  <si>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</si>
  <si>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</si>
  <si>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</si>
  <si>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</si>
  <si>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</si>
  <si>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</si>
  <si>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</si>
  <si>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</si>
  <si>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</si>
  <si>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</si>
  <si>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</si>
  <si>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</si>
  <si>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</si>
  <si>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</si>
  <si>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</si>
  <si>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</si>
  <si>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</si>
  <si>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</si>
  <si>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</si>
  <si>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</si>
  <si>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</si>
  <si>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</si>
  <si>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</si>
  <si>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</si>
  <si>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</si>
  <si>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</si>
  <si>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</si>
  <si>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</si>
  <si>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</si>
  <si>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</si>
  <si>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</si>
  <si>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</si>
  <si>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</si>
  <si>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</si>
  <si>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</si>
  <si>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</si>
  <si>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</si>
  <si>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</si>
  <si>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</si>
  <si>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</si>
  <si>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</si>
  <si>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</si>
  <si>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</si>
  <si>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</si>
  <si>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</si>
  <si>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</si>
  <si>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</si>
  <si>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</si>
  <si>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</si>
  <si>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</si>
  <si>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</si>
  <si>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</si>
  <si>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</si>
  <si>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</si>
  <si>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</si>
  <si>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</si>
  <si>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</si>
  <si>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</si>
  <si>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</si>
  <si>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</si>
  <si>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</si>
  <si>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</si>
  <si>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</si>
  <si>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</si>
  <si>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</si>
  <si>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</si>
  <si>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</si>
  <si>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</si>
  <si>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</si>
  <si>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</si>
  <si>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</si>
  <si>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</si>
  <si>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</si>
  <si>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</si>
  <si>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</si>
  <si>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</si>
  <si>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</si>
  <si>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</si>
  <si>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</si>
  <si>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</si>
  <si>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</si>
  <si>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</si>
  <si>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</si>
  <si>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</si>
  <si>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</si>
  <si>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</si>
  <si>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</si>
  <si>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</si>
  <si>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</si>
  <si>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</si>
  <si>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</si>
  <si>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</si>
  <si>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</si>
  <si>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</si>
  <si>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</si>
  <si>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</si>
  <si>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</si>
  <si>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</si>
  <si>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</si>
  <si>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</si>
  <si>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</si>
  <si>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</si>
  <si>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</si>
  <si>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</si>
  <si>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</si>
  <si>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</si>
  <si>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</si>
  <si>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</si>
  <si>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</si>
  <si>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</si>
  <si>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</si>
  <si>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</si>
  <si>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</si>
  <si>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</si>
  <si>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</si>
  <si>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</si>
  <si>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</si>
  <si>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</si>
  <si>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</si>
  <si>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</si>
  <si>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</si>
  <si>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</si>
  <si>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</si>
  <si>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</si>
  <si>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</si>
  <si>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</si>
  <si>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</si>
  <si>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</si>
  <si>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</si>
  <si>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</si>
  <si>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</si>
  <si>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</si>
  <si>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</si>
  <si>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</si>
  <si>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</si>
  <si>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</si>
  <si>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</si>
  <si>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</si>
  <si>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</si>
  <si>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</si>
  <si>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ICARUS</t>
  </si>
  <si>
    <t>28.03.26</t>
  </si>
  <si>
    <t>ICARUS_Обложка_1</t>
  </si>
  <si>
    <t>ICARUS_Обложка_2</t>
  </si>
  <si>
    <t>ICARUS_Обложка_3</t>
  </si>
  <si>
    <t>ICARUS_Обложка_4</t>
  </si>
  <si>
    <t>ICARUS_Обложка_5</t>
  </si>
  <si>
    <t>ICARUS_Обложка_6</t>
  </si>
  <si>
    <t>ICARUS_Обложка_7</t>
  </si>
  <si>
    <t>ICARUS_Обложка_8</t>
  </si>
  <si>
    <t>ICARUS_Обложка_9</t>
  </si>
  <si>
    <t>ICARUS_Обложка_10</t>
  </si>
  <si>
    <t>29.03.26</t>
  </si>
  <si>
    <t>ICARUS_Сердце</t>
  </si>
  <si>
    <t>ICARUS_Медведь</t>
  </si>
  <si>
    <t>ICARUS_Астронавты</t>
  </si>
  <si>
    <t>ICARUS_Оазис</t>
  </si>
  <si>
    <t>ICARUS_Пикник</t>
  </si>
  <si>
    <t>ICARUS_Верстак</t>
  </si>
  <si>
    <t>ICARUS_Грибы</t>
  </si>
  <si>
    <t>ICARUS_Равнины</t>
  </si>
  <si>
    <t>ICARUS_Лава</t>
  </si>
  <si>
    <t>ICARUS_Лес</t>
  </si>
  <si>
    <t>ICARUS_Фауна</t>
  </si>
  <si>
    <t>ICARUS_Горы</t>
  </si>
  <si>
    <t>30.03.26</t>
  </si>
  <si>
    <t>ICARUS_Лагерь</t>
  </si>
  <si>
    <t>ICARUS_Космос</t>
  </si>
  <si>
    <t>ICARUS_Олень</t>
  </si>
  <si>
    <t>ICARUS_Луга</t>
  </si>
  <si>
    <t>31.03.26</t>
  </si>
  <si>
    <t>ICARUS_Метель</t>
  </si>
  <si>
    <t>ICARUS_Астронавт</t>
  </si>
  <si>
    <t>ICARUS_Медведи</t>
  </si>
  <si>
    <t>ICARUS_Выстрел</t>
  </si>
  <si>
    <t>ICARUS_Пещера</t>
  </si>
  <si>
    <t>ICARUS_Водопад</t>
  </si>
  <si>
    <t>Osk</t>
  </si>
  <si>
    <t>01.04.26</t>
  </si>
  <si>
    <t>ICARUS_Зима</t>
  </si>
  <si>
    <t>ICARUS_Ущелье</t>
  </si>
  <si>
    <t>ICARUS_Ферма</t>
  </si>
  <si>
    <t>ICARUS_Шахтёр</t>
  </si>
  <si>
    <t>ICARUS_Гемплей</t>
  </si>
  <si>
    <t>ICARUS_Буровая</t>
  </si>
  <si>
    <t>ICARUS_Озеро</t>
  </si>
  <si>
    <t>ICARUS_Кристалы</t>
  </si>
  <si>
    <t>ICARUS_Червь</t>
  </si>
  <si>
    <t>Satisf</t>
  </si>
  <si>
    <t>Satisfactory_Обложка</t>
  </si>
  <si>
    <t>Satisfactory_Трубы</t>
  </si>
  <si>
    <t>Satisfactory_Астронавт</t>
  </si>
  <si>
    <t>Satisfactory_Компания</t>
  </si>
  <si>
    <t>Satisfactory_Завод</t>
  </si>
  <si>
    <t>Satisfactory_Двойная</t>
  </si>
  <si>
    <t>Satisfactory_Пустыня</t>
  </si>
  <si>
    <t>Satisfactory_Трубопровод</t>
  </si>
  <si>
    <t>Satisfactory_Автоматизация</t>
  </si>
  <si>
    <t>Satisfactory_Автоматизация_2</t>
  </si>
  <si>
    <t>Satisfactory_Конвейер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</si>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</sst>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0" xfId="0" applyFont="1" applyBorder="1" applyAlignment="1">
      <alignment horizontal="left"/>
    </xf>
    <xf numFmtId="49" fontId="0" fillId="0" borderId="0" xfId="0" applyNumberFormat="1" applyBorder="1" applyAlignment="1">
      <alignment horizontal="left"/>
    </xf>
    <xf numFmtId="0" fontId="0" fillId="0" borderId="0" xfId="0" applyFont="1" applyBorder="1" applyAlignment="1">
      <alignment horizontal="left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49" fontId="4" fillId="3" borderId="0" xfId="0" applyNumberFormat="1" applyFont="1" applyFill="1" applyBorder="1" applyAlignment="1">
      <alignment horizontal="left" vertical="center" wrapText="1"/>
    </xf>
    <xf numFmtId="49" fontId="0" fillId="0" borderId="0" xfId="0" applyNumberForma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49" fontId="0" fillId="0" borderId="0" xfId="0" applyNumberFormat="1" applyFont="1" applyBorder="1" applyAlignment="1">
      <alignment horizontal="left"/>
    </xf>
    <xf numFmtId="49" fontId="0" fillId="0" borderId="0" xfId="0" applyNumberFormat="1" applyFont="1" applyBorder="1" applyAlignment="1">
      <alignment horizontal="left"/>
    </xf>
    <xf numFmtId="0" fontId="5" fillId="0" borderId="0" xfId="0" applyFont="1" applyBorder="1" applyAlignment="1">
      <alignment horizontal="left" wrapText="1"/>
    </xf>
    <xf numFmtId="0" fontId="6" fillId="0" borderId="0" xfId="0" applyFont="1" applyBorder="1" applyAlignment="1">
      <alignment horizontal="left"/>
    </xf>
    <xf numFmtId="0" fontId="4" fillId="3" borderId="0" xfId="0" applyFont="1" applyFill="1" applyBorder="1" applyAlignment="1">
      <alignment horizontal="left" wrapText="1"/>
    </xf>
    <xf numFmtId="0" fontId="5" fillId="0" borderId="0" xfId="0" applyFont="1" applyBorder="1" applyAlignment="1">
      <alignment horizontal="left"/>
    </xf>
    <xf numFmtId="0" fontId="0" fillId="0" borderId="0" xfId="0" applyFill="1" applyBorder="1" applyAlignment="1">
      <alignment horizontal="left" wrapText="1"/>
    </xf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9" fontId="0" fillId="0" borderId="0" xfId="0" applyNumberForma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0" fontId="0" fillId="0" borderId="0" xfId="0" applyFill="1" applyBorder="1" applyAlignment="1">
      <alignment vertical="center"/>
    </xf>
    <xf numFmtId="0" fontId="0" fillId="0" borderId="0" xfId="0" applyFont="1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18"/>
  <sheetViews>
    <sheetView tabSelected="1" topLeftCell="C390" workbookViewId="0">
      <selection activeCell="L408" sqref="L408:L418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9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10" t="s">
        <v>0</v>
      </c>
      <c r="B1" s="11"/>
      <c r="C1" s="10" t="s">
        <v>1</v>
      </c>
      <c r="D1" s="10" t="s">
        <v>2</v>
      </c>
      <c r="E1" s="10" t="s">
        <v>3</v>
      </c>
      <c r="F1" s="10" t="s">
        <v>4</v>
      </c>
      <c r="G1" s="12" t="s">
        <v>5</v>
      </c>
      <c r="H1" s="10" t="s">
        <v>6</v>
      </c>
      <c r="I1" s="19"/>
      <c r="J1" s="19" t="s">
        <v>7</v>
      </c>
      <c r="K1" s="19"/>
      <c r="L1" s="19" t="s">
        <v>8</v>
      </c>
    </row>
    <row r="2" ht="15.6" spans="1:12">
      <c r="A2" s="13" t="s">
        <v>9</v>
      </c>
      <c r="B2" s="8"/>
      <c r="C2" s="14" t="s">
        <v>10</v>
      </c>
      <c r="D2" s="15" t="s">
        <v>11</v>
      </c>
      <c r="E2" s="8" t="s">
        <v>12</v>
      </c>
      <c r="F2" s="8" t="s">
        <v>13</v>
      </c>
      <c r="G2" s="8" t="s">
        <v>14</v>
      </c>
      <c r="H2" s="16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5.6" spans="1:12">
      <c r="A3" s="13" t="s">
        <v>16</v>
      </c>
      <c r="B3" s="8"/>
      <c r="C3" s="14" t="s">
        <v>10</v>
      </c>
      <c r="D3" s="15" t="s">
        <v>11</v>
      </c>
      <c r="E3" s="8" t="s">
        <v>17</v>
      </c>
      <c r="F3" s="8" t="s">
        <v>13</v>
      </c>
      <c r="G3" s="8" t="s">
        <v>14</v>
      </c>
      <c r="H3" s="16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5.6" spans="1:12">
      <c r="A4" s="13" t="s">
        <v>18</v>
      </c>
      <c r="B4" s="8"/>
      <c r="C4" s="14" t="s">
        <v>19</v>
      </c>
      <c r="D4" s="15" t="s">
        <v>20</v>
      </c>
      <c r="E4" s="8" t="s">
        <v>21</v>
      </c>
      <c r="F4" s="8" t="s">
        <v>13</v>
      </c>
      <c r="G4" s="8" t="s">
        <v>14</v>
      </c>
      <c r="H4" s="16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5.6" spans="1:12">
      <c r="A5" s="13" t="s">
        <v>23</v>
      </c>
      <c r="B5" s="8"/>
      <c r="C5" s="14" t="s">
        <v>19</v>
      </c>
      <c r="D5" s="15" t="s">
        <v>20</v>
      </c>
      <c r="E5" s="8" t="s">
        <v>24</v>
      </c>
      <c r="F5" s="8" t="s">
        <v>13</v>
      </c>
      <c r="G5" s="8" t="s">
        <v>14</v>
      </c>
      <c r="H5" s="16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5.6" spans="1:12">
      <c r="A6" s="13" t="s">
        <v>25</v>
      </c>
      <c r="B6" s="8"/>
      <c r="C6" s="14" t="s">
        <v>19</v>
      </c>
      <c r="D6" s="15" t="s">
        <v>20</v>
      </c>
      <c r="E6" s="8" t="s">
        <v>26</v>
      </c>
      <c r="F6" s="8" t="s">
        <v>13</v>
      </c>
      <c r="G6" s="8" t="s">
        <v>14</v>
      </c>
      <c r="H6" s="16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5.6" spans="1:12">
      <c r="A7" s="13" t="s">
        <v>27</v>
      </c>
      <c r="B7" s="8"/>
      <c r="C7" s="14" t="s">
        <v>10</v>
      </c>
      <c r="D7" s="15" t="s">
        <v>11</v>
      </c>
      <c r="E7" s="8" t="s">
        <v>28</v>
      </c>
      <c r="F7" s="8" t="s">
        <v>13</v>
      </c>
      <c r="G7" s="8" t="s">
        <v>14</v>
      </c>
      <c r="H7" s="16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5.6" spans="1:12">
      <c r="A8" s="13" t="s">
        <v>29</v>
      </c>
      <c r="B8" s="8"/>
      <c r="C8" s="14" t="s">
        <v>10</v>
      </c>
      <c r="D8" s="15" t="s">
        <v>11</v>
      </c>
      <c r="E8" s="8" t="s">
        <v>30</v>
      </c>
      <c r="F8" s="8" t="s">
        <v>13</v>
      </c>
      <c r="G8" s="8" t="s">
        <v>14</v>
      </c>
      <c r="H8" s="16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5.6" spans="1:12">
      <c r="A9" s="13" t="s">
        <v>31</v>
      </c>
      <c r="B9" s="8"/>
      <c r="C9" s="14" t="s">
        <v>10</v>
      </c>
      <c r="D9" s="15" t="s">
        <v>11</v>
      </c>
      <c r="E9" s="8" t="s">
        <v>32</v>
      </c>
      <c r="F9" s="8" t="s">
        <v>13</v>
      </c>
      <c r="G9" s="8" t="s">
        <v>14</v>
      </c>
      <c r="H9" s="16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5.6" spans="1:12">
      <c r="A10" s="13" t="s">
        <v>33</v>
      </c>
      <c r="B10" s="8"/>
      <c r="C10" s="14" t="s">
        <v>19</v>
      </c>
      <c r="D10" s="15" t="s">
        <v>34</v>
      </c>
      <c r="E10" s="8" t="s">
        <v>35</v>
      </c>
      <c r="F10" s="8" t="s">
        <v>13</v>
      </c>
      <c r="G10" s="8" t="s">
        <v>14</v>
      </c>
      <c r="H10" s="16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5.6" spans="1:12">
      <c r="A11" s="13" t="s">
        <v>37</v>
      </c>
      <c r="B11" s="8"/>
      <c r="C11" s="14" t="s">
        <v>19</v>
      </c>
      <c r="D11" s="15" t="s">
        <v>34</v>
      </c>
      <c r="E11" s="8" t="s">
        <v>38</v>
      </c>
      <c r="F11" s="8" t="s">
        <v>13</v>
      </c>
      <c r="G11" s="8" t="s">
        <v>14</v>
      </c>
      <c r="H11" s="16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3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9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3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9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3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9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3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9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3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9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3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9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3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9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3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9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3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9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3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9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3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9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3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9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9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9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9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9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9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9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9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9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9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9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9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9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9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9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7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8" t="s">
        <v>102</v>
      </c>
      <c r="E39" s="6" t="s">
        <v>103</v>
      </c>
      <c r="F39" s="8" t="s">
        <v>13</v>
      </c>
      <c r="G39" s="8" t="s">
        <v>104</v>
      </c>
      <c r="H39" s="9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8" t="s">
        <v>102</v>
      </c>
      <c r="E40" s="6" t="s">
        <v>106</v>
      </c>
      <c r="F40" s="8" t="s">
        <v>13</v>
      </c>
      <c r="G40" s="8" t="s">
        <v>104</v>
      </c>
      <c r="H40" s="9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8" t="s">
        <v>102</v>
      </c>
      <c r="E41" s="6" t="s">
        <v>108</v>
      </c>
      <c r="F41" s="8" t="s">
        <v>13</v>
      </c>
      <c r="G41" s="8" t="s">
        <v>104</v>
      </c>
      <c r="H41" s="9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8" t="s">
        <v>102</v>
      </c>
      <c r="E42" s="6" t="s">
        <v>110</v>
      </c>
      <c r="F42" s="8" t="s">
        <v>13</v>
      </c>
      <c r="G42" s="8" t="s">
        <v>104</v>
      </c>
      <c r="H42" s="9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8" t="s">
        <v>102</v>
      </c>
      <c r="E43" s="6" t="s">
        <v>112</v>
      </c>
      <c r="F43" s="8" t="s">
        <v>13</v>
      </c>
      <c r="G43" s="8" t="s">
        <v>104</v>
      </c>
      <c r="H43" s="9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8" t="s">
        <v>102</v>
      </c>
      <c r="E44" s="6" t="s">
        <v>114</v>
      </c>
      <c r="F44" s="8" t="s">
        <v>13</v>
      </c>
      <c r="G44" s="8" t="s">
        <v>104</v>
      </c>
      <c r="H44" s="9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8" t="s">
        <v>102</v>
      </c>
      <c r="E45" s="6" t="s">
        <v>116</v>
      </c>
      <c r="F45" s="8" t="s">
        <v>13</v>
      </c>
      <c r="G45" s="8" t="s">
        <v>104</v>
      </c>
      <c r="H45" s="9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8" t="s">
        <v>102</v>
      </c>
      <c r="E46" s="6" t="s">
        <v>118</v>
      </c>
      <c r="F46" s="8" t="s">
        <v>13</v>
      </c>
      <c r="G46" s="8" t="s">
        <v>104</v>
      </c>
      <c r="H46" s="9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8" t="s">
        <v>102</v>
      </c>
      <c r="E47" s="6" t="s">
        <v>120</v>
      </c>
      <c r="F47" s="8" t="s">
        <v>13</v>
      </c>
      <c r="G47" s="8" t="s">
        <v>104</v>
      </c>
      <c r="H47" s="9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8" t="s">
        <v>102</v>
      </c>
      <c r="E48" s="6" t="s">
        <v>122</v>
      </c>
      <c r="F48" s="8" t="s">
        <v>13</v>
      </c>
      <c r="G48" s="8" t="s">
        <v>104</v>
      </c>
      <c r="H48" s="9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8" t="s">
        <v>102</v>
      </c>
      <c r="E49" s="6" t="s">
        <v>124</v>
      </c>
      <c r="F49" s="8" t="s">
        <v>13</v>
      </c>
      <c r="G49" s="8" t="s">
        <v>104</v>
      </c>
      <c r="H49" s="9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8" t="s">
        <v>102</v>
      </c>
      <c r="E50" s="6" t="s">
        <v>125</v>
      </c>
      <c r="F50" s="8" t="s">
        <v>13</v>
      </c>
      <c r="G50" s="8" t="s">
        <v>104</v>
      </c>
      <c r="H50" s="9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8" t="s">
        <v>102</v>
      </c>
      <c r="E51" s="6" t="s">
        <v>127</v>
      </c>
      <c r="F51" s="8" t="s">
        <v>13</v>
      </c>
      <c r="G51" s="8" t="s">
        <v>104</v>
      </c>
      <c r="H51" s="9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8" t="s">
        <v>102</v>
      </c>
      <c r="E52" s="6" t="s">
        <v>128</v>
      </c>
      <c r="F52" s="8" t="s">
        <v>13</v>
      </c>
      <c r="G52" s="8" t="s">
        <v>129</v>
      </c>
      <c r="H52" s="9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8" t="s">
        <v>102</v>
      </c>
      <c r="E53" s="6" t="s">
        <v>131</v>
      </c>
      <c r="F53" s="8" t="s">
        <v>13</v>
      </c>
      <c r="G53" s="8" t="s">
        <v>129</v>
      </c>
      <c r="H53" s="9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8" t="s">
        <v>102</v>
      </c>
      <c r="E54" s="6" t="s">
        <v>132</v>
      </c>
      <c r="F54" s="8" t="s">
        <v>13</v>
      </c>
      <c r="G54" s="8" t="s">
        <v>129</v>
      </c>
      <c r="H54" s="9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8" t="s">
        <v>102</v>
      </c>
      <c r="E55" s="6" t="s">
        <v>134</v>
      </c>
      <c r="F55" s="8" t="s">
        <v>13</v>
      </c>
      <c r="G55" s="8" t="s">
        <v>129</v>
      </c>
      <c r="H55" s="9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8" t="s">
        <v>102</v>
      </c>
      <c r="E56" s="6" t="s">
        <v>136</v>
      </c>
      <c r="F56" s="8" t="s">
        <v>13</v>
      </c>
      <c r="G56" s="8" t="s">
        <v>129</v>
      </c>
      <c r="H56" s="9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8" t="s">
        <v>102</v>
      </c>
      <c r="E57" s="6" t="s">
        <v>138</v>
      </c>
      <c r="F57" s="8" t="s">
        <v>13</v>
      </c>
      <c r="G57" s="8" t="s">
        <v>129</v>
      </c>
      <c r="H57" s="9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8" t="s">
        <v>102</v>
      </c>
      <c r="E58" s="6" t="s">
        <v>139</v>
      </c>
      <c r="F58" s="8" t="s">
        <v>13</v>
      </c>
      <c r="G58" s="8" t="s">
        <v>129</v>
      </c>
      <c r="H58" s="9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8" t="s">
        <v>102</v>
      </c>
      <c r="E59" s="6" t="s">
        <v>141</v>
      </c>
      <c r="F59" s="8" t="s">
        <v>13</v>
      </c>
      <c r="G59" s="8" t="s">
        <v>129</v>
      </c>
      <c r="H59" s="9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8" t="s">
        <v>102</v>
      </c>
      <c r="E60" s="6" t="s">
        <v>142</v>
      </c>
      <c r="F60" s="8" t="s">
        <v>13</v>
      </c>
      <c r="G60" s="8" t="s">
        <v>129</v>
      </c>
      <c r="H60" s="9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8" t="s">
        <v>102</v>
      </c>
      <c r="E61" s="6" t="s">
        <v>144</v>
      </c>
      <c r="F61" s="8" t="s">
        <v>13</v>
      </c>
      <c r="G61" s="8" t="s">
        <v>129</v>
      </c>
      <c r="H61" s="9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8" t="s">
        <v>102</v>
      </c>
      <c r="E62" s="6" t="s">
        <v>145</v>
      </c>
      <c r="F62" s="8" t="s">
        <v>13</v>
      </c>
      <c r="G62" s="8" t="s">
        <v>129</v>
      </c>
      <c r="H62" s="9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8" t="s">
        <v>102</v>
      </c>
      <c r="E63" s="6" t="s">
        <v>147</v>
      </c>
      <c r="F63" s="8" t="s">
        <v>13</v>
      </c>
      <c r="G63" s="8" t="s">
        <v>129</v>
      </c>
      <c r="H63" s="9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8" t="s">
        <v>102</v>
      </c>
      <c r="E64" s="6" t="s">
        <v>148</v>
      </c>
      <c r="F64" s="8" t="s">
        <v>13</v>
      </c>
      <c r="G64" s="8" t="s">
        <v>129</v>
      </c>
      <c r="H64" s="9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8" t="s">
        <v>102</v>
      </c>
      <c r="E65" s="6" t="s">
        <v>150</v>
      </c>
      <c r="F65" s="8" t="s">
        <v>13</v>
      </c>
      <c r="G65" s="8" t="s">
        <v>129</v>
      </c>
      <c r="H65" s="9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8" t="s">
        <v>102</v>
      </c>
      <c r="E66" s="6" t="s">
        <v>151</v>
      </c>
      <c r="F66" s="8" t="s">
        <v>13</v>
      </c>
      <c r="G66" s="8" t="s">
        <v>129</v>
      </c>
      <c r="H66" s="9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9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9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9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9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9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9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9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9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9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9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9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9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9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9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9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9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20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20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20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20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20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9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9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9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9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9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9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9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9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9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9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9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9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9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9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9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9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9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9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9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9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9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9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9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9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9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9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9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9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9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9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9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9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9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9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9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9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9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9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9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9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9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9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9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9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9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9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9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9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9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9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9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9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9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9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9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9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9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9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9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9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9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9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9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9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9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9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9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9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9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9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9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9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9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9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9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9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9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9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9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9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9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9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9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9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9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9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9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9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9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9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9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9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9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9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9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21">
        <v>182</v>
      </c>
      <c r="B183" s="22"/>
      <c r="C183" s="22" t="s">
        <v>40</v>
      </c>
      <c r="D183" s="23" t="s">
        <v>316</v>
      </c>
      <c r="E183" s="22" t="s">
        <v>317</v>
      </c>
      <c r="F183" s="22" t="s">
        <v>13</v>
      </c>
      <c r="G183" s="24" t="s">
        <v>311</v>
      </c>
      <c r="H183" s="25" t="s">
        <v>318</v>
      </c>
      <c r="I183" s="22"/>
      <c r="J183" s="24" t="str">
        <f t="shared" si="4"/>
        <v>CupDBDGam182.PQTC.13.03.26</v>
      </c>
      <c r="K183" s="22"/>
      <c r="L183" s="22" t="str">
        <f t="shared" si="5"/>
        <v>182 CupDBDGam182.PQTC.13.03.26 DBD Искра безумия</v>
      </c>
      <c r="M183" s="26"/>
      <c r="N183" s="26"/>
      <c r="O183" s="26"/>
      <c r="P183" s="26"/>
      <c r="Q183" s="26"/>
    </row>
    <row r="184" spans="1:17">
      <c r="A184" s="21">
        <v>183</v>
      </c>
      <c r="B184" s="22"/>
      <c r="C184" s="22" t="s">
        <v>40</v>
      </c>
      <c r="D184" s="23" t="s">
        <v>316</v>
      </c>
      <c r="E184" s="22" t="s">
        <v>319</v>
      </c>
      <c r="F184" s="22" t="s">
        <v>13</v>
      </c>
      <c r="G184" s="24" t="s">
        <v>311</v>
      </c>
      <c r="H184" s="25" t="s">
        <v>320</v>
      </c>
      <c r="I184" s="22"/>
      <c r="J184" s="24" t="str">
        <f t="shared" si="4"/>
        <v>CupDBDGam183.PQTC.13.03.26</v>
      </c>
      <c r="K184" s="22"/>
      <c r="L184" s="22" t="str">
        <f t="shared" si="5"/>
        <v>183 CupDBDGam183.PQTC.13.03.26 DBD Кастлвания</v>
      </c>
      <c r="M184" s="26"/>
      <c r="N184" s="26"/>
      <c r="O184" s="26"/>
      <c r="P184" s="26"/>
      <c r="Q184" s="26"/>
    </row>
    <row r="185" spans="1:17">
      <c r="A185" s="21">
        <v>184</v>
      </c>
      <c r="B185" s="22"/>
      <c r="C185" s="22" t="s">
        <v>40</v>
      </c>
      <c r="D185" s="23" t="s">
        <v>316</v>
      </c>
      <c r="E185" s="22" t="s">
        <v>321</v>
      </c>
      <c r="F185" s="22" t="s">
        <v>13</v>
      </c>
      <c r="G185" s="24" t="s">
        <v>311</v>
      </c>
      <c r="H185" s="25" t="s">
        <v>322</v>
      </c>
      <c r="I185" s="22"/>
      <c r="J185" s="24" t="str">
        <f t="shared" si="4"/>
        <v>CupDBDGam184.PQTC.13.03.26</v>
      </c>
      <c r="K185" s="22"/>
      <c r="L185" s="22" t="str">
        <f t="shared" si="5"/>
        <v>184 CupDBDGam184.PQTC.13.03.26 DBD Портрет убийцы</v>
      </c>
      <c r="M185" s="26"/>
      <c r="N185" s="26"/>
      <c r="O185" s="26"/>
      <c r="P185" s="26"/>
      <c r="Q185" s="26"/>
    </row>
    <row r="186" spans="1:17">
      <c r="A186" s="21">
        <v>185</v>
      </c>
      <c r="B186" s="22"/>
      <c r="C186" s="22" t="s">
        <v>40</v>
      </c>
      <c r="D186" s="23" t="s">
        <v>316</v>
      </c>
      <c r="E186" s="22" t="s">
        <v>323</v>
      </c>
      <c r="F186" s="22" t="s">
        <v>13</v>
      </c>
      <c r="G186" s="24" t="s">
        <v>311</v>
      </c>
      <c r="H186" s="25" t="s">
        <v>324</v>
      </c>
      <c r="I186" s="22"/>
      <c r="J186" s="24" t="str">
        <f t="shared" si="4"/>
        <v>CupDBDGam185.PQTC.13.03.26</v>
      </c>
      <c r="K186" s="22"/>
      <c r="L186" s="22" t="str">
        <f t="shared" si="5"/>
        <v>185 CupDBDGam185.PQTC.13.03.26 DBD Призрачное Лицо</v>
      </c>
      <c r="M186" s="26"/>
      <c r="N186" s="26"/>
      <c r="O186" s="26"/>
      <c r="P186" s="26"/>
      <c r="Q186" s="26"/>
    </row>
    <row r="187" spans="1:17">
      <c r="A187" s="21">
        <v>186</v>
      </c>
      <c r="B187" s="22"/>
      <c r="C187" s="22" t="s">
        <v>40</v>
      </c>
      <c r="D187" s="23" t="s">
        <v>316</v>
      </c>
      <c r="E187" s="22" t="s">
        <v>325</v>
      </c>
      <c r="F187" s="22" t="s">
        <v>13</v>
      </c>
      <c r="G187" s="24" t="s">
        <v>311</v>
      </c>
      <c r="H187" s="25" t="s">
        <v>326</v>
      </c>
      <c r="I187" s="22"/>
      <c r="J187" s="24" t="str">
        <f t="shared" si="4"/>
        <v>CupDBDGam186.PQTC.13.03.26</v>
      </c>
      <c r="K187" s="22"/>
      <c r="L187" s="22" t="str">
        <f t="shared" si="5"/>
        <v>186 CupDBDGam186.PQTC.13.03.26 DBD Полное уничтожение</v>
      </c>
      <c r="M187" s="26"/>
      <c r="N187" s="26"/>
      <c r="O187" s="26"/>
      <c r="P187" s="26"/>
      <c r="Q187" s="26"/>
    </row>
    <row r="188" spans="1:12">
      <c r="A188" s="5">
        <v>187</v>
      </c>
      <c r="C188" s="22" t="s">
        <v>40</v>
      </c>
      <c r="D188" s="23" t="s">
        <v>316</v>
      </c>
      <c r="E188" s="6" t="str">
        <f t="shared" ref="E188:E251" si="6">A188&amp;"."</f>
        <v>187.</v>
      </c>
      <c r="F188" s="22" t="s">
        <v>13</v>
      </c>
      <c r="G188" s="24" t="s">
        <v>327</v>
      </c>
      <c r="H188" s="25" t="s">
        <v>328</v>
      </c>
      <c r="J188" s="24" t="str">
        <f t="shared" si="4"/>
        <v>CupDBDGam187.PQTC.14.03.26</v>
      </c>
      <c r="L188" s="22" t="str">
        <f t="shared" si="5"/>
        <v>187 CupDBDGam187.PQTC.14.03.26 DBD Очень странные дела</v>
      </c>
    </row>
    <row r="189" spans="1:12">
      <c r="A189" s="5">
        <v>188</v>
      </c>
      <c r="C189" s="22" t="s">
        <v>40</v>
      </c>
      <c r="D189" s="23" t="s">
        <v>316</v>
      </c>
      <c r="E189" s="6" t="str">
        <f t="shared" si="6"/>
        <v>188.</v>
      </c>
      <c r="F189" s="22" t="s">
        <v>13</v>
      </c>
      <c r="G189" s="24" t="s">
        <v>327</v>
      </c>
      <c r="H189" s="25" t="s">
        <v>329</v>
      </c>
      <c r="J189" s="24" t="str">
        <f t="shared" si="4"/>
        <v>CupDBDGam188.PQTC.14.03.26</v>
      </c>
      <c r="L189" s="22" t="str">
        <f t="shared" si="5"/>
        <v>188 CupDBDGam188.PQTC.14.03.26 DBD Зловещая благодать</v>
      </c>
    </row>
    <row r="190" spans="1:12">
      <c r="A190" s="5">
        <v>189</v>
      </c>
      <c r="C190" s="22" t="s">
        <v>40</v>
      </c>
      <c r="D190" s="23" t="s">
        <v>316</v>
      </c>
      <c r="E190" s="6" t="str">
        <f t="shared" si="6"/>
        <v>189.</v>
      </c>
      <c r="F190" s="22" t="s">
        <v>13</v>
      </c>
      <c r="G190" s="24" t="s">
        <v>327</v>
      </c>
      <c r="H190" s="25" t="s">
        <v>330</v>
      </c>
      <c r="J190" s="24" t="str">
        <f t="shared" si="4"/>
        <v>CupDBDGam189.PQTC.14.03.26</v>
      </c>
      <c r="L190" s="22" t="str">
        <f t="shared" si="5"/>
        <v>189 CupDBDGam189.PQTC.14.03.26 DBD Пять ночей с Фредди</v>
      </c>
    </row>
    <row r="191" spans="1:12">
      <c r="A191" s="5">
        <v>190</v>
      </c>
      <c r="C191" s="22" t="s">
        <v>40</v>
      </c>
      <c r="D191" s="23" t="s">
        <v>316</v>
      </c>
      <c r="E191" s="6" t="str">
        <f t="shared" si="6"/>
        <v>190.</v>
      </c>
      <c r="F191" s="22" t="s">
        <v>13</v>
      </c>
      <c r="G191" s="24" t="s">
        <v>327</v>
      </c>
      <c r="H191" s="25" t="s">
        <v>331</v>
      </c>
      <c r="J191" s="24" t="str">
        <f t="shared" si="4"/>
        <v>CupDBDGam190.PQTC.14.03.26</v>
      </c>
      <c r="L191" s="22" t="str">
        <f t="shared" si="5"/>
        <v>190 CupDBDGam190.PQTC.14.03.26 DBD Токийский гуль</v>
      </c>
    </row>
    <row r="192" spans="1:12">
      <c r="A192" s="5">
        <v>191</v>
      </c>
      <c r="C192" s="22" t="s">
        <v>40</v>
      </c>
      <c r="D192" s="23" t="s">
        <v>316</v>
      </c>
      <c r="E192" s="6" t="str">
        <f t="shared" si="6"/>
        <v>191.</v>
      </c>
      <c r="F192" s="22" t="s">
        <v>13</v>
      </c>
      <c r="G192" s="24" t="s">
        <v>327</v>
      </c>
      <c r="H192" s="25" t="s">
        <v>332</v>
      </c>
      <c r="J192" s="24" t="str">
        <f t="shared" si="4"/>
        <v>CupDBDGam191.PQTC.14.03.26</v>
      </c>
      <c r="L192" s="22" t="str">
        <f t="shared" si="5"/>
        <v>191 CupDBDGam191.PQTC.14.03.26 DBD Обреченный курс</v>
      </c>
    </row>
    <row r="193" spans="1:12">
      <c r="A193" s="5">
        <v>192</v>
      </c>
      <c r="C193" s="22" t="s">
        <v>40</v>
      </c>
      <c r="D193" s="23" t="s">
        <v>316</v>
      </c>
      <c r="E193" s="6" t="str">
        <f t="shared" si="6"/>
        <v>192.</v>
      </c>
      <c r="F193" s="22" t="s">
        <v>13</v>
      </c>
      <c r="G193" s="24" t="s">
        <v>327</v>
      </c>
      <c r="H193" s="25" t="s">
        <v>333</v>
      </c>
      <c r="J193" s="24" t="str">
        <f t="shared" si="4"/>
        <v>CupDBDGam192.PQTC.14.03.26</v>
      </c>
      <c r="L193" s="22" t="str">
        <f t="shared" si="5"/>
        <v>192 CupDBDGam192.PQTC.14.03.26 DBD Подземелья и драконы</v>
      </c>
    </row>
    <row r="194" spans="1:12">
      <c r="A194" s="5">
        <v>193</v>
      </c>
      <c r="C194" s="22" t="s">
        <v>40</v>
      </c>
      <c r="D194" s="23" t="s">
        <v>316</v>
      </c>
      <c r="E194" s="6" t="str">
        <f t="shared" si="6"/>
        <v>193.</v>
      </c>
      <c r="F194" s="22" t="s">
        <v>13</v>
      </c>
      <c r="G194" s="24" t="s">
        <v>327</v>
      </c>
      <c r="H194" s="25" t="s">
        <v>334</v>
      </c>
      <c r="J194" s="24" t="str">
        <f t="shared" ref="J194:J257" si="7">C194&amp;D194&amp;E194&amp;F194&amp;G194</f>
        <v>CupDBDGam193.PQTC.14.03.26</v>
      </c>
      <c r="L194" s="22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22" t="s">
        <v>40</v>
      </c>
      <c r="D195" s="23" t="s">
        <v>316</v>
      </c>
      <c r="E195" s="6" t="str">
        <f t="shared" si="6"/>
        <v>194.</v>
      </c>
      <c r="F195" s="22" t="s">
        <v>13</v>
      </c>
      <c r="G195" s="24" t="s">
        <v>327</v>
      </c>
      <c r="H195" s="25" t="s">
        <v>335</v>
      </c>
      <c r="J195" s="24" t="str">
        <f t="shared" si="7"/>
        <v>CupDBDGam194.PQTC.14.03.26</v>
      </c>
      <c r="L195" s="22" t="str">
        <f t="shared" si="8"/>
        <v>194 CupDBDGam194.PQTC.14.03.26 DBD Хороший парень — Чаки</v>
      </c>
    </row>
    <row r="196" spans="1:12">
      <c r="A196" s="5">
        <v>195</v>
      </c>
      <c r="C196" s="22" t="s">
        <v>40</v>
      </c>
      <c r="D196" s="23" t="s">
        <v>316</v>
      </c>
      <c r="E196" s="6" t="str">
        <f t="shared" si="6"/>
        <v>195.</v>
      </c>
      <c r="F196" s="22" t="s">
        <v>13</v>
      </c>
      <c r="G196" s="24" t="s">
        <v>327</v>
      </c>
      <c r="H196" s="25" t="s">
        <v>336</v>
      </c>
      <c r="J196" s="24" t="str">
        <f t="shared" si="7"/>
        <v>CupDBDGam195.PQTC.14.03.26</v>
      </c>
      <c r="L196" s="22" t="str">
        <f t="shared" si="8"/>
        <v>195 CupDBDGam195.PQTC.14.03.26 DBD Чужой</v>
      </c>
    </row>
    <row r="197" spans="1:12">
      <c r="A197" s="5">
        <v>196</v>
      </c>
      <c r="C197" s="22" t="s">
        <v>40</v>
      </c>
      <c r="D197" s="23" t="s">
        <v>316</v>
      </c>
      <c r="E197" s="6" t="str">
        <f t="shared" si="6"/>
        <v>196.</v>
      </c>
      <c r="F197" s="22" t="s">
        <v>13</v>
      </c>
      <c r="G197" s="24" t="s">
        <v>327</v>
      </c>
      <c r="H197" s="25" t="s">
        <v>337</v>
      </c>
      <c r="J197" s="24" t="str">
        <f t="shared" si="7"/>
        <v>CupDBDGam196.PQTC.14.03.26</v>
      </c>
      <c r="L197" s="22" t="str">
        <f t="shared" si="8"/>
        <v>196 CupDBDGam196.PQTC.14.03.26 DBD Конец передачи</v>
      </c>
    </row>
    <row r="198" spans="1:12">
      <c r="A198" s="5">
        <v>197</v>
      </c>
      <c r="C198" s="22" t="s">
        <v>10</v>
      </c>
      <c r="D198" s="23" t="s">
        <v>338</v>
      </c>
      <c r="E198" s="6" t="str">
        <f t="shared" si="6"/>
        <v>197.</v>
      </c>
      <c r="F198" s="22" t="s">
        <v>13</v>
      </c>
      <c r="G198" s="24" t="s">
        <v>339</v>
      </c>
      <c r="H198" s="9" t="s">
        <v>340</v>
      </c>
      <c r="J198" s="24" t="str">
        <f t="shared" si="7"/>
        <v>NtrAntaly197.PQTC.15.03.26</v>
      </c>
      <c r="L198" s="22" t="str">
        <f t="shared" si="8"/>
        <v>197 NtrAntaly197.PQTC.15.03.26 Анталья аллея парящих зонтиков</v>
      </c>
    </row>
    <row r="199" spans="1:12">
      <c r="A199" s="5">
        <v>198</v>
      </c>
      <c r="C199" s="22" t="s">
        <v>10</v>
      </c>
      <c r="D199" s="23" t="s">
        <v>338</v>
      </c>
      <c r="E199" s="6" t="str">
        <f t="shared" si="6"/>
        <v>198.</v>
      </c>
      <c r="F199" s="22" t="s">
        <v>13</v>
      </c>
      <c r="G199" s="24" t="s">
        <v>339</v>
      </c>
      <c r="H199" s="9" t="s">
        <v>340</v>
      </c>
      <c r="J199" s="24" t="str">
        <f t="shared" si="7"/>
        <v>NtrAntaly198.PQTC.15.03.26</v>
      </c>
      <c r="L199" s="22" t="str">
        <f t="shared" si="8"/>
        <v>198 NtrAntaly198.PQTC.15.03.26 Анталья аллея парящих зонтиков</v>
      </c>
    </row>
    <row r="200" spans="1:12">
      <c r="A200" s="5">
        <v>199</v>
      </c>
      <c r="C200" s="22" t="s">
        <v>10</v>
      </c>
      <c r="D200" s="23" t="s">
        <v>338</v>
      </c>
      <c r="E200" s="6" t="str">
        <f t="shared" si="6"/>
        <v>199.</v>
      </c>
      <c r="F200" s="22" t="s">
        <v>13</v>
      </c>
      <c r="G200" s="24" t="s">
        <v>339</v>
      </c>
      <c r="H200" s="9" t="s">
        <v>340</v>
      </c>
      <c r="J200" s="24" t="str">
        <f t="shared" si="7"/>
        <v>NtrAntaly199.PQTC.15.03.26</v>
      </c>
      <c r="L200" s="22" t="str">
        <f t="shared" si="8"/>
        <v>199 NtrAntaly199.PQTC.15.03.26 Анталья аллея парящих зонтиков</v>
      </c>
    </row>
    <row r="201" spans="1:12">
      <c r="A201" s="5">
        <v>200</v>
      </c>
      <c r="C201" s="22" t="s">
        <v>10</v>
      </c>
      <c r="D201" s="23" t="s">
        <v>338</v>
      </c>
      <c r="E201" s="6" t="str">
        <f t="shared" si="6"/>
        <v>200.</v>
      </c>
      <c r="F201" s="22" t="s">
        <v>13</v>
      </c>
      <c r="G201" s="24" t="s">
        <v>339</v>
      </c>
      <c r="H201" s="9" t="s">
        <v>341</v>
      </c>
      <c r="J201" s="24" t="str">
        <f t="shared" si="7"/>
        <v>NtrAntaly200.PQTC.15.03.26</v>
      </c>
      <c r="L201" s="22" t="str">
        <f t="shared" si="8"/>
        <v>200 NtrAntaly200.PQTC.15.03.26 Анталья дюденские водопады</v>
      </c>
    </row>
    <row r="202" spans="1:12">
      <c r="A202" s="5">
        <v>201</v>
      </c>
      <c r="C202" s="22" t="s">
        <v>10</v>
      </c>
      <c r="D202" s="23" t="s">
        <v>338</v>
      </c>
      <c r="E202" s="6" t="str">
        <f t="shared" si="6"/>
        <v>201.</v>
      </c>
      <c r="F202" s="22" t="s">
        <v>13</v>
      </c>
      <c r="G202" s="24" t="s">
        <v>339</v>
      </c>
      <c r="H202" s="9" t="s">
        <v>341</v>
      </c>
      <c r="J202" s="24" t="str">
        <f t="shared" si="7"/>
        <v>NtrAntaly201.PQTC.15.03.26</v>
      </c>
      <c r="L202" s="22" t="str">
        <f t="shared" si="8"/>
        <v>201 NtrAntaly201.PQTC.15.03.26 Анталья дюденские водопады</v>
      </c>
    </row>
    <row r="203" spans="1:12">
      <c r="A203" s="5">
        <v>202</v>
      </c>
      <c r="C203" s="22" t="s">
        <v>10</v>
      </c>
      <c r="D203" s="23" t="s">
        <v>338</v>
      </c>
      <c r="E203" s="6" t="str">
        <f t="shared" si="6"/>
        <v>202.</v>
      </c>
      <c r="F203" s="22" t="s">
        <v>13</v>
      </c>
      <c r="G203" s="24" t="s">
        <v>339</v>
      </c>
      <c r="H203" s="9" t="s">
        <v>341</v>
      </c>
      <c r="J203" s="24" t="str">
        <f t="shared" si="7"/>
        <v>NtrAntaly202.PQTC.15.03.26</v>
      </c>
      <c r="L203" s="22" t="str">
        <f t="shared" si="8"/>
        <v>202 NtrAntaly202.PQTC.15.03.26 Анталья дюденские водопады</v>
      </c>
    </row>
    <row r="204" spans="1:12">
      <c r="A204" s="5">
        <v>203</v>
      </c>
      <c r="C204" s="22" t="s">
        <v>10</v>
      </c>
      <c r="D204" s="23" t="s">
        <v>338</v>
      </c>
      <c r="E204" s="6" t="str">
        <f t="shared" si="6"/>
        <v>203.</v>
      </c>
      <c r="F204" s="22" t="s">
        <v>13</v>
      </c>
      <c r="G204" s="24" t="s">
        <v>339</v>
      </c>
      <c r="H204" s="9" t="s">
        <v>341</v>
      </c>
      <c r="J204" s="24" t="str">
        <f t="shared" si="7"/>
        <v>NtrAntaly203.PQTC.15.03.26</v>
      </c>
      <c r="L204" s="22" t="str">
        <f t="shared" si="8"/>
        <v>203 NtrAntaly203.PQTC.15.03.26 Анталья дюденские водопады</v>
      </c>
    </row>
    <row r="205" spans="1:12">
      <c r="A205" s="5">
        <v>204</v>
      </c>
      <c r="C205" s="22" t="s">
        <v>10</v>
      </c>
      <c r="D205" s="23" t="s">
        <v>338</v>
      </c>
      <c r="E205" s="6" t="str">
        <f t="shared" si="6"/>
        <v>204.</v>
      </c>
      <c r="F205" s="22" t="s">
        <v>13</v>
      </c>
      <c r="G205" s="24" t="s">
        <v>339</v>
      </c>
      <c r="H205" s="9" t="s">
        <v>341</v>
      </c>
      <c r="J205" s="24" t="str">
        <f t="shared" si="7"/>
        <v>NtrAntaly204.PQTC.15.03.26</v>
      </c>
      <c r="L205" s="22" t="str">
        <f t="shared" si="8"/>
        <v>204 NtrAntaly204.PQTC.15.03.26 Анталья дюденские водопады</v>
      </c>
    </row>
    <row r="206" spans="1:12">
      <c r="A206" s="5">
        <v>205</v>
      </c>
      <c r="C206" s="22" t="s">
        <v>10</v>
      </c>
      <c r="D206" s="23" t="s">
        <v>338</v>
      </c>
      <c r="E206" s="6" t="str">
        <f t="shared" si="6"/>
        <v>205.</v>
      </c>
      <c r="F206" s="22" t="s">
        <v>13</v>
      </c>
      <c r="G206" s="24" t="s">
        <v>339</v>
      </c>
      <c r="H206" s="9" t="s">
        <v>341</v>
      </c>
      <c r="J206" s="24" t="str">
        <f t="shared" si="7"/>
        <v>NtrAntaly205.PQTC.15.03.26</v>
      </c>
      <c r="L206" s="22" t="str">
        <f t="shared" si="8"/>
        <v>205 NtrAntaly205.PQTC.15.03.26 Анталья дюденские водопады</v>
      </c>
    </row>
    <row r="207" spans="1:12">
      <c r="A207" s="5">
        <v>206</v>
      </c>
      <c r="C207" s="22" t="s">
        <v>10</v>
      </c>
      <c r="D207" s="23" t="s">
        <v>338</v>
      </c>
      <c r="E207" s="6" t="str">
        <f t="shared" si="6"/>
        <v>206.</v>
      </c>
      <c r="F207" s="22" t="s">
        <v>13</v>
      </c>
      <c r="G207" s="24" t="s">
        <v>339</v>
      </c>
      <c r="H207" s="9" t="s">
        <v>341</v>
      </c>
      <c r="J207" s="24" t="str">
        <f t="shared" si="7"/>
        <v>NtrAntaly206.PQTC.15.03.26</v>
      </c>
      <c r="L207" s="22" t="str">
        <f t="shared" si="8"/>
        <v>206 NtrAntaly206.PQTC.15.03.26 Анталья дюденские водопады</v>
      </c>
    </row>
    <row r="208" spans="1:12">
      <c r="A208" s="5">
        <v>207</v>
      </c>
      <c r="C208" s="22" t="s">
        <v>10</v>
      </c>
      <c r="D208" s="23" t="s">
        <v>338</v>
      </c>
      <c r="E208" s="6" t="str">
        <f t="shared" si="6"/>
        <v>207.</v>
      </c>
      <c r="F208" s="22" t="s">
        <v>13</v>
      </c>
      <c r="G208" s="24" t="s">
        <v>339</v>
      </c>
      <c r="H208" s="9" t="s">
        <v>341</v>
      </c>
      <c r="J208" s="24" t="str">
        <f t="shared" si="7"/>
        <v>NtrAntaly207.PQTC.15.03.26</v>
      </c>
      <c r="L208" s="22" t="str">
        <f t="shared" si="8"/>
        <v>207 NtrAntaly207.PQTC.15.03.26 Анталья дюденские водопады</v>
      </c>
    </row>
    <row r="209" spans="1:12">
      <c r="A209" s="5">
        <v>208</v>
      </c>
      <c r="C209" s="22" t="s">
        <v>10</v>
      </c>
      <c r="D209" s="23" t="s">
        <v>338</v>
      </c>
      <c r="E209" s="6" t="str">
        <f t="shared" si="6"/>
        <v>208.</v>
      </c>
      <c r="F209" s="22" t="s">
        <v>13</v>
      </c>
      <c r="G209" s="24" t="s">
        <v>339</v>
      </c>
      <c r="H209" s="9" t="s">
        <v>341</v>
      </c>
      <c r="J209" s="24" t="str">
        <f t="shared" si="7"/>
        <v>NtrAntaly208.PQTC.15.03.26</v>
      </c>
      <c r="L209" s="22" t="str">
        <f t="shared" si="8"/>
        <v>208 NtrAntaly208.PQTC.15.03.26 Анталья дюденские водопады</v>
      </c>
    </row>
    <row r="210" spans="1:12">
      <c r="A210" s="5">
        <v>209</v>
      </c>
      <c r="C210" s="22" t="s">
        <v>10</v>
      </c>
      <c r="D210" s="23" t="s">
        <v>338</v>
      </c>
      <c r="E210" s="6" t="str">
        <f t="shared" si="6"/>
        <v>209.</v>
      </c>
      <c r="F210" s="22" t="s">
        <v>13</v>
      </c>
      <c r="G210" s="24" t="s">
        <v>339</v>
      </c>
      <c r="H210" s="9" t="s">
        <v>341</v>
      </c>
      <c r="J210" s="24" t="str">
        <f t="shared" si="7"/>
        <v>NtrAntaly209.PQTC.15.03.26</v>
      </c>
      <c r="L210" s="22" t="str">
        <f t="shared" si="8"/>
        <v>209 NtrAntaly209.PQTC.15.03.26 Анталья дюденские водопады</v>
      </c>
    </row>
    <row r="211" spans="1:12">
      <c r="A211" s="5">
        <v>210</v>
      </c>
      <c r="C211" s="22" t="s">
        <v>10</v>
      </c>
      <c r="D211" s="23" t="s">
        <v>338</v>
      </c>
      <c r="E211" s="6" t="str">
        <f t="shared" si="6"/>
        <v>210.</v>
      </c>
      <c r="F211" s="22" t="s">
        <v>13</v>
      </c>
      <c r="G211" s="24" t="s">
        <v>339</v>
      </c>
      <c r="H211" s="9" t="s">
        <v>340</v>
      </c>
      <c r="J211" s="24" t="str">
        <f t="shared" si="7"/>
        <v>NtrAntaly210.PQTC.15.03.26</v>
      </c>
      <c r="L211" s="22" t="str">
        <f t="shared" si="8"/>
        <v>210 NtrAntaly210.PQTC.15.03.26 Анталья аллея парящих зонтиков</v>
      </c>
    </row>
    <row r="212" spans="1:12">
      <c r="A212" s="5">
        <v>211</v>
      </c>
      <c r="C212" s="22" t="s">
        <v>10</v>
      </c>
      <c r="D212" s="23" t="s">
        <v>338</v>
      </c>
      <c r="E212" s="6" t="str">
        <f t="shared" si="6"/>
        <v>211.</v>
      </c>
      <c r="F212" s="22" t="s">
        <v>13</v>
      </c>
      <c r="G212" s="8" t="s">
        <v>342</v>
      </c>
      <c r="H212" s="9" t="s">
        <v>343</v>
      </c>
      <c r="J212" s="24" t="str">
        <f t="shared" si="7"/>
        <v>NtrAntaly211.PQTC.16.03.26</v>
      </c>
      <c r="L212" s="22" t="str">
        <f t="shared" si="8"/>
        <v>211 NtrAntaly211.PQTC.16.03.26 Анталья озеро Салда</v>
      </c>
    </row>
    <row r="213" spans="1:12">
      <c r="A213" s="5">
        <v>212</v>
      </c>
      <c r="C213" s="22" t="s">
        <v>10</v>
      </c>
      <c r="D213" s="23" t="s">
        <v>338</v>
      </c>
      <c r="E213" s="6" t="str">
        <f t="shared" si="6"/>
        <v>212.</v>
      </c>
      <c r="F213" s="22" t="s">
        <v>13</v>
      </c>
      <c r="G213" s="8" t="s">
        <v>342</v>
      </c>
      <c r="H213" s="9" t="s">
        <v>343</v>
      </c>
      <c r="J213" s="24" t="str">
        <f t="shared" si="7"/>
        <v>NtrAntaly212.PQTC.16.03.26</v>
      </c>
      <c r="L213" s="22" t="str">
        <f t="shared" si="8"/>
        <v>212 NtrAntaly212.PQTC.16.03.26 Анталья озеро Салда</v>
      </c>
    </row>
    <row r="214" spans="1:12">
      <c r="A214" s="5">
        <v>213</v>
      </c>
      <c r="C214" s="22" t="s">
        <v>10</v>
      </c>
      <c r="D214" s="23" t="s">
        <v>338</v>
      </c>
      <c r="E214" s="6" t="str">
        <f t="shared" si="6"/>
        <v>213.</v>
      </c>
      <c r="F214" s="22" t="s">
        <v>13</v>
      </c>
      <c r="G214" s="8" t="s">
        <v>342</v>
      </c>
      <c r="H214" s="9" t="s">
        <v>343</v>
      </c>
      <c r="J214" s="24" t="str">
        <f t="shared" si="7"/>
        <v>NtrAntaly213.PQTC.16.03.26</v>
      </c>
      <c r="L214" s="22" t="str">
        <f t="shared" si="8"/>
        <v>213 NtrAntaly213.PQTC.16.03.26 Анталья озеро Салда</v>
      </c>
    </row>
    <row r="215" spans="1:12">
      <c r="A215" s="5">
        <v>214</v>
      </c>
      <c r="C215" s="22" t="s">
        <v>10</v>
      </c>
      <c r="D215" s="23" t="s">
        <v>338</v>
      </c>
      <c r="E215" s="6" t="str">
        <f t="shared" si="6"/>
        <v>214.</v>
      </c>
      <c r="F215" s="22" t="s">
        <v>13</v>
      </c>
      <c r="G215" s="8" t="s">
        <v>342</v>
      </c>
      <c r="H215" s="9" t="s">
        <v>343</v>
      </c>
      <c r="J215" s="24" t="str">
        <f t="shared" si="7"/>
        <v>NtrAntaly214.PQTC.16.03.26</v>
      </c>
      <c r="L215" s="22" t="str">
        <f t="shared" si="8"/>
        <v>214 NtrAntaly214.PQTC.16.03.26 Анталья озеро Салда</v>
      </c>
    </row>
    <row r="216" spans="1:12">
      <c r="A216" s="5">
        <v>215</v>
      </c>
      <c r="C216" s="22" t="s">
        <v>10</v>
      </c>
      <c r="D216" s="23" t="s">
        <v>338</v>
      </c>
      <c r="E216" s="6" t="str">
        <f t="shared" si="6"/>
        <v>215.</v>
      </c>
      <c r="F216" s="22" t="s">
        <v>13</v>
      </c>
      <c r="G216" s="8" t="s">
        <v>342</v>
      </c>
      <c r="H216" s="9" t="s">
        <v>343</v>
      </c>
      <c r="J216" s="24" t="str">
        <f t="shared" si="7"/>
        <v>NtrAntaly215.PQTC.16.03.26</v>
      </c>
      <c r="L216" s="22" t="str">
        <f t="shared" si="8"/>
        <v>215 NtrAntaly215.PQTC.16.03.26 Анталья озеро Салда</v>
      </c>
    </row>
    <row r="217" spans="1:12">
      <c r="A217" s="5">
        <v>216</v>
      </c>
      <c r="C217" s="22" t="s">
        <v>10</v>
      </c>
      <c r="D217" s="23" t="s">
        <v>338</v>
      </c>
      <c r="E217" s="6" t="str">
        <f t="shared" si="6"/>
        <v>216.</v>
      </c>
      <c r="F217" s="22" t="s">
        <v>13</v>
      </c>
      <c r="G217" s="8" t="s">
        <v>342</v>
      </c>
      <c r="H217" s="9" t="s">
        <v>343</v>
      </c>
      <c r="J217" s="24" t="str">
        <f t="shared" si="7"/>
        <v>NtrAntaly216.PQTC.16.03.26</v>
      </c>
      <c r="L217" s="22" t="str">
        <f t="shared" si="8"/>
        <v>216 NtrAntaly216.PQTC.16.03.26 Анталья озеро Салда</v>
      </c>
    </row>
    <row r="218" spans="1:12">
      <c r="A218" s="5">
        <v>217</v>
      </c>
      <c r="C218" s="22" t="s">
        <v>10</v>
      </c>
      <c r="D218" s="23" t="s">
        <v>338</v>
      </c>
      <c r="E218" s="6" t="str">
        <f t="shared" si="6"/>
        <v>217.</v>
      </c>
      <c r="F218" s="22" t="s">
        <v>13</v>
      </c>
      <c r="G218" s="8" t="s">
        <v>342</v>
      </c>
      <c r="H218" s="9" t="s">
        <v>343</v>
      </c>
      <c r="J218" s="24" t="str">
        <f t="shared" si="7"/>
        <v>NtrAntaly217.PQTC.16.03.26</v>
      </c>
      <c r="L218" s="22" t="str">
        <f t="shared" si="8"/>
        <v>217 NtrAntaly217.PQTC.16.03.26 Анталья озеро Салда</v>
      </c>
    </row>
    <row r="219" spans="1:12">
      <c r="A219" s="5">
        <v>218</v>
      </c>
      <c r="C219" s="22" t="s">
        <v>10</v>
      </c>
      <c r="D219" s="23" t="s">
        <v>338</v>
      </c>
      <c r="E219" s="6" t="str">
        <f t="shared" si="6"/>
        <v>218.</v>
      </c>
      <c r="F219" s="22" t="s">
        <v>13</v>
      </c>
      <c r="G219" s="8" t="s">
        <v>342</v>
      </c>
      <c r="H219" s="9" t="s">
        <v>344</v>
      </c>
      <c r="J219" s="24" t="str">
        <f t="shared" si="7"/>
        <v>NtrAntaly218.PQTC.16.03.26</v>
      </c>
      <c r="L219" s="22" t="str">
        <f t="shared" si="8"/>
        <v>218 NtrAntaly218.PQTC.16.03.26 Анталья античный город Кибира</v>
      </c>
    </row>
    <row r="220" spans="1:12">
      <c r="A220" s="5">
        <v>219</v>
      </c>
      <c r="C220" s="22" t="s">
        <v>10</v>
      </c>
      <c r="D220" s="23" t="s">
        <v>338</v>
      </c>
      <c r="E220" s="6" t="str">
        <f t="shared" si="6"/>
        <v>219.</v>
      </c>
      <c r="F220" s="22" t="s">
        <v>13</v>
      </c>
      <c r="G220" s="8" t="s">
        <v>342</v>
      </c>
      <c r="H220" s="9" t="s">
        <v>345</v>
      </c>
      <c r="J220" s="24" t="str">
        <f t="shared" si="7"/>
        <v>NtrAntaly219.PQTC.16.03.26</v>
      </c>
      <c r="L220" s="22" t="str">
        <f t="shared" si="8"/>
        <v>219 NtrAntaly219.PQTC.16.03.26 Анталья минарет Кесик</v>
      </c>
    </row>
    <row r="221" spans="1:12">
      <c r="A221" s="5">
        <v>220</v>
      </c>
      <c r="C221" s="22" t="s">
        <v>10</v>
      </c>
      <c r="D221" s="23" t="s">
        <v>338</v>
      </c>
      <c r="E221" s="6" t="str">
        <f t="shared" si="6"/>
        <v>220.</v>
      </c>
      <c r="F221" s="22" t="s">
        <v>13</v>
      </c>
      <c r="G221" s="8" t="s">
        <v>342</v>
      </c>
      <c r="H221" s="9" t="s">
        <v>346</v>
      </c>
      <c r="J221" s="24" t="str">
        <f t="shared" si="7"/>
        <v>NtrAntaly220.PQTC.16.03.26</v>
      </c>
      <c r="L221" s="22" t="str">
        <f t="shared" si="8"/>
        <v>220 NtrAntaly220.PQTC.16.03.26 Анталья древний город Андриаке</v>
      </c>
    </row>
    <row r="222" spans="1:12">
      <c r="A222" s="5">
        <v>221</v>
      </c>
      <c r="C222" s="22" t="s">
        <v>10</v>
      </c>
      <c r="D222" s="23" t="s">
        <v>338</v>
      </c>
      <c r="E222" s="6" t="str">
        <f t="shared" si="6"/>
        <v>221.</v>
      </c>
      <c r="F222" s="22" t="s">
        <v>13</v>
      </c>
      <c r="G222" s="8" t="s">
        <v>342</v>
      </c>
      <c r="H222" s="9" t="s">
        <v>347</v>
      </c>
      <c r="J222" s="24" t="str">
        <f t="shared" si="7"/>
        <v>NtrAntaly221.PQTC.16.03.26</v>
      </c>
      <c r="L222" s="22" t="str">
        <f t="shared" si="8"/>
        <v>221 NtrAntaly221.PQTC.16.03.26 Анталья руины Перге</v>
      </c>
    </row>
    <row r="223" spans="1:12">
      <c r="A223" s="5">
        <v>222</v>
      </c>
      <c r="C223" s="22" t="s">
        <v>10</v>
      </c>
      <c r="D223" s="23" t="s">
        <v>338</v>
      </c>
      <c r="E223" s="6" t="str">
        <f t="shared" si="6"/>
        <v>222.</v>
      </c>
      <c r="F223" s="22" t="s">
        <v>13</v>
      </c>
      <c r="G223" s="8" t="s">
        <v>348</v>
      </c>
      <c r="H223" s="9" t="s">
        <v>349</v>
      </c>
      <c r="J223" s="24" t="str">
        <f t="shared" si="7"/>
        <v>NtrAntaly222.PQTC.17.03.26</v>
      </c>
      <c r="L223" s="22" t="str">
        <f t="shared" si="8"/>
        <v>222 NtrAntaly222.PQTC.17.03.26 Анталья ворота Адриана</v>
      </c>
    </row>
    <row r="224" spans="1:12">
      <c r="A224" s="5">
        <v>223</v>
      </c>
      <c r="C224" s="22" t="s">
        <v>10</v>
      </c>
      <c r="D224" s="23" t="s">
        <v>338</v>
      </c>
      <c r="E224" s="6" t="str">
        <f t="shared" si="6"/>
        <v>223.</v>
      </c>
      <c r="F224" s="22" t="s">
        <v>13</v>
      </c>
      <c r="G224" s="8" t="s">
        <v>348</v>
      </c>
      <c r="H224" s="9" t="s">
        <v>349</v>
      </c>
      <c r="J224" s="24" t="str">
        <f t="shared" si="7"/>
        <v>NtrAntaly223.PQTC.17.03.26</v>
      </c>
      <c r="L224" s="22" t="str">
        <f t="shared" si="8"/>
        <v>223 NtrAntaly223.PQTC.17.03.26 Анталья ворота Адриана</v>
      </c>
    </row>
    <row r="225" spans="1:12">
      <c r="A225" s="5">
        <v>224</v>
      </c>
      <c r="C225" s="22" t="s">
        <v>10</v>
      </c>
      <c r="D225" s="23" t="s">
        <v>338</v>
      </c>
      <c r="E225" s="6" t="str">
        <f t="shared" si="6"/>
        <v>224.</v>
      </c>
      <c r="F225" s="22" t="s">
        <v>13</v>
      </c>
      <c r="G225" s="8" t="s">
        <v>348</v>
      </c>
      <c r="H225" s="9" t="s">
        <v>349</v>
      </c>
      <c r="J225" s="24" t="str">
        <f t="shared" si="7"/>
        <v>NtrAntaly224.PQTC.17.03.26</v>
      </c>
      <c r="L225" s="22" t="str">
        <f t="shared" si="8"/>
        <v>224 NtrAntaly224.PQTC.17.03.26 Анталья ворота Адриана</v>
      </c>
    </row>
    <row r="226" spans="1:12">
      <c r="A226" s="5">
        <v>225</v>
      </c>
      <c r="C226" s="22" t="s">
        <v>10</v>
      </c>
      <c r="D226" s="23" t="s">
        <v>338</v>
      </c>
      <c r="E226" s="6" t="str">
        <f t="shared" si="6"/>
        <v>225.</v>
      </c>
      <c r="F226" s="22" t="s">
        <v>13</v>
      </c>
      <c r="G226" s="8" t="s">
        <v>348</v>
      </c>
      <c r="H226" s="9" t="s">
        <v>350</v>
      </c>
      <c r="J226" s="24" t="str">
        <f t="shared" si="7"/>
        <v>NtrAntaly225.PQTC.17.03.26</v>
      </c>
      <c r="L226" s="22" t="str">
        <f t="shared" si="8"/>
        <v>225 NtrAntaly225.PQTC.17.03.26 Анталья башня Хыдырлык</v>
      </c>
    </row>
    <row r="227" spans="1:12">
      <c r="A227" s="5">
        <v>226</v>
      </c>
      <c r="C227" s="22" t="s">
        <v>10</v>
      </c>
      <c r="D227" s="23" t="s">
        <v>338</v>
      </c>
      <c r="E227" s="6" t="str">
        <f t="shared" si="6"/>
        <v>226.</v>
      </c>
      <c r="F227" s="22" t="s">
        <v>13</v>
      </c>
      <c r="G227" s="8" t="s">
        <v>348</v>
      </c>
      <c r="H227" s="9" t="s">
        <v>350</v>
      </c>
      <c r="J227" s="24" t="str">
        <f t="shared" si="7"/>
        <v>NtrAntaly226.PQTC.17.03.26</v>
      </c>
      <c r="L227" s="22" t="str">
        <f t="shared" si="8"/>
        <v>226 NtrAntaly226.PQTC.17.03.26 Анталья башня Хыдырлык</v>
      </c>
    </row>
    <row r="228" spans="1:12">
      <c r="A228" s="5">
        <v>227</v>
      </c>
      <c r="C228" s="22" t="s">
        <v>10</v>
      </c>
      <c r="D228" s="23" t="s">
        <v>338</v>
      </c>
      <c r="E228" s="6" t="str">
        <f t="shared" si="6"/>
        <v>227.</v>
      </c>
      <c r="F228" s="22" t="s">
        <v>13</v>
      </c>
      <c r="G228" s="8" t="s">
        <v>348</v>
      </c>
      <c r="H228" s="9" t="s">
        <v>350</v>
      </c>
      <c r="J228" s="24" t="str">
        <f t="shared" si="7"/>
        <v>NtrAntaly227.PQTC.17.03.26</v>
      </c>
      <c r="L228" s="22" t="str">
        <f t="shared" si="8"/>
        <v>227 NtrAntaly227.PQTC.17.03.26 Анталья башня Хыдырлык</v>
      </c>
    </row>
    <row r="229" spans="1:12">
      <c r="A229" s="5">
        <v>228</v>
      </c>
      <c r="C229" s="22" t="s">
        <v>10</v>
      </c>
      <c r="D229" s="23" t="s">
        <v>338</v>
      </c>
      <c r="E229" s="6" t="str">
        <f t="shared" si="6"/>
        <v>228.</v>
      </c>
      <c r="F229" s="22" t="s">
        <v>13</v>
      </c>
      <c r="G229" s="8" t="s">
        <v>348</v>
      </c>
      <c r="H229" s="9" t="s">
        <v>350</v>
      </c>
      <c r="J229" s="24" t="str">
        <f t="shared" si="7"/>
        <v>NtrAntaly228.PQTC.17.03.26</v>
      </c>
      <c r="L229" s="22" t="str">
        <f t="shared" si="8"/>
        <v>228 NtrAntaly228.PQTC.17.03.26 Анталья башня Хыдырлык</v>
      </c>
    </row>
    <row r="230" spans="1:12">
      <c r="A230" s="5">
        <v>229</v>
      </c>
      <c r="C230" s="22" t="s">
        <v>10</v>
      </c>
      <c r="D230" s="23" t="s">
        <v>338</v>
      </c>
      <c r="E230" s="6" t="str">
        <f t="shared" si="6"/>
        <v>229.</v>
      </c>
      <c r="F230" s="22" t="s">
        <v>13</v>
      </c>
      <c r="G230" s="8" t="s">
        <v>348</v>
      </c>
      <c r="H230" s="9" t="s">
        <v>350</v>
      </c>
      <c r="J230" s="24" t="str">
        <f t="shared" si="7"/>
        <v>NtrAntaly229.PQTC.17.03.26</v>
      </c>
      <c r="L230" s="22" t="str">
        <f t="shared" si="8"/>
        <v>229 NtrAntaly229.PQTC.17.03.26 Анталья башня Хыдырлык</v>
      </c>
    </row>
    <row r="231" spans="1:12">
      <c r="A231" s="5">
        <v>230</v>
      </c>
      <c r="C231" s="22" t="s">
        <v>10</v>
      </c>
      <c r="D231" s="23" t="s">
        <v>338</v>
      </c>
      <c r="E231" s="6" t="str">
        <f t="shared" si="6"/>
        <v>230.</v>
      </c>
      <c r="F231" s="22" t="s">
        <v>13</v>
      </c>
      <c r="G231" s="8" t="s">
        <v>348</v>
      </c>
      <c r="H231" s="9" t="s">
        <v>350</v>
      </c>
      <c r="J231" s="24" t="str">
        <f t="shared" si="7"/>
        <v>NtrAntaly230.PQTC.17.03.26</v>
      </c>
      <c r="L231" s="22" t="str">
        <f t="shared" si="8"/>
        <v>230 NtrAntaly230.PQTC.17.03.26 Анталья башня Хыдырлык</v>
      </c>
    </row>
    <row r="232" spans="1:12">
      <c r="A232" s="5">
        <v>231</v>
      </c>
      <c r="C232" s="22" t="s">
        <v>10</v>
      </c>
      <c r="D232" s="23" t="s">
        <v>338</v>
      </c>
      <c r="E232" s="6" t="str">
        <f t="shared" si="6"/>
        <v>231.</v>
      </c>
      <c r="F232" s="22" t="s">
        <v>13</v>
      </c>
      <c r="G232" s="8" t="s">
        <v>348</v>
      </c>
      <c r="H232" s="9" t="s">
        <v>351</v>
      </c>
      <c r="J232" s="24" t="str">
        <f t="shared" si="7"/>
        <v>NtrAntaly231.PQTC.17.03.26</v>
      </c>
      <c r="L232" s="22" t="str">
        <f t="shared" si="8"/>
        <v>231 NtrAntaly231.PQTC.17.03.26 Анталья порт Калеичи</v>
      </c>
    </row>
    <row r="233" spans="1:12">
      <c r="A233" s="5">
        <v>232</v>
      </c>
      <c r="C233" s="22" t="s">
        <v>10</v>
      </c>
      <c r="D233" s="23" t="s">
        <v>338</v>
      </c>
      <c r="E233" s="6" t="str">
        <f t="shared" si="6"/>
        <v>232.</v>
      </c>
      <c r="F233" s="22" t="s">
        <v>13</v>
      </c>
      <c r="G233" s="8" t="s">
        <v>352</v>
      </c>
      <c r="H233" s="9" t="s">
        <v>351</v>
      </c>
      <c r="J233" s="24" t="str">
        <f t="shared" si="7"/>
        <v>NtrAntaly232.PQTC.18.03.26</v>
      </c>
      <c r="L233" s="22" t="str">
        <f t="shared" si="8"/>
        <v>232 NtrAntaly232.PQTC.18.03.26 Анталья порт Калеичи</v>
      </c>
    </row>
    <row r="234" spans="1:12">
      <c r="A234" s="5">
        <v>233</v>
      </c>
      <c r="C234" s="22" t="s">
        <v>10</v>
      </c>
      <c r="D234" s="23" t="s">
        <v>338</v>
      </c>
      <c r="E234" s="6" t="str">
        <f t="shared" si="6"/>
        <v>233.</v>
      </c>
      <c r="F234" s="22" t="s">
        <v>13</v>
      </c>
      <c r="G234" s="8" t="s">
        <v>352</v>
      </c>
      <c r="H234" s="9" t="s">
        <v>351</v>
      </c>
      <c r="J234" s="24" t="str">
        <f t="shared" si="7"/>
        <v>NtrAntaly233.PQTC.18.03.26</v>
      </c>
      <c r="L234" s="22" t="str">
        <f t="shared" si="8"/>
        <v>233 NtrAntaly233.PQTC.18.03.26 Анталья порт Калеичи</v>
      </c>
    </row>
    <row r="235" spans="1:12">
      <c r="A235" s="5">
        <v>234</v>
      </c>
      <c r="C235" s="22" t="s">
        <v>10</v>
      </c>
      <c r="D235" s="23" t="s">
        <v>338</v>
      </c>
      <c r="E235" s="6" t="str">
        <f t="shared" si="6"/>
        <v>234.</v>
      </c>
      <c r="F235" s="22" t="s">
        <v>13</v>
      </c>
      <c r="G235" s="8" t="s">
        <v>352</v>
      </c>
      <c r="H235" s="9" t="s">
        <v>351</v>
      </c>
      <c r="J235" s="24" t="str">
        <f t="shared" si="7"/>
        <v>NtrAntaly234.PQTC.18.03.26</v>
      </c>
      <c r="L235" s="22" t="str">
        <f t="shared" si="8"/>
        <v>234 NtrAntaly234.PQTC.18.03.26 Анталья порт Калеичи</v>
      </c>
    </row>
    <row r="236" spans="1:12">
      <c r="A236" s="5">
        <v>235</v>
      </c>
      <c r="C236" s="22" t="s">
        <v>10</v>
      </c>
      <c r="D236" s="23" t="s">
        <v>338</v>
      </c>
      <c r="E236" s="6" t="str">
        <f t="shared" si="6"/>
        <v>235.</v>
      </c>
      <c r="F236" s="22" t="s">
        <v>13</v>
      </c>
      <c r="G236" s="8" t="s">
        <v>352</v>
      </c>
      <c r="H236" s="9" t="s">
        <v>351</v>
      </c>
      <c r="J236" s="24" t="str">
        <f t="shared" si="7"/>
        <v>NtrAntaly235.PQTC.18.03.26</v>
      </c>
      <c r="L236" s="22" t="str">
        <f t="shared" si="8"/>
        <v>235 NtrAntaly235.PQTC.18.03.26 Анталья порт Калеичи</v>
      </c>
    </row>
    <row r="237" spans="1:12">
      <c r="A237" s="5">
        <v>236</v>
      </c>
      <c r="C237" s="22" t="s">
        <v>10</v>
      </c>
      <c r="D237" s="23" t="s">
        <v>338</v>
      </c>
      <c r="E237" s="6" t="str">
        <f t="shared" si="6"/>
        <v>236.</v>
      </c>
      <c r="F237" s="22" t="s">
        <v>13</v>
      </c>
      <c r="G237" s="8" t="s">
        <v>352</v>
      </c>
      <c r="H237" s="9" t="s">
        <v>353</v>
      </c>
      <c r="J237" s="24" t="str">
        <f t="shared" si="7"/>
        <v>NtrAntaly236.PQTC.18.03.26</v>
      </c>
      <c r="L237" s="22" t="str">
        <f t="shared" si="8"/>
        <v>236 NtrAntaly236.PQTC.18.03.26 Анталья крепость Аланья</v>
      </c>
    </row>
    <row r="238" spans="1:12">
      <c r="A238" s="5">
        <v>237</v>
      </c>
      <c r="C238" s="22" t="s">
        <v>10</v>
      </c>
      <c r="D238" s="23" t="s">
        <v>338</v>
      </c>
      <c r="E238" s="6" t="str">
        <f t="shared" si="6"/>
        <v>237.</v>
      </c>
      <c r="F238" s="22" t="s">
        <v>13</v>
      </c>
      <c r="G238" s="8" t="s">
        <v>352</v>
      </c>
      <c r="H238" s="9" t="s">
        <v>354</v>
      </c>
      <c r="J238" s="24" t="str">
        <f t="shared" si="7"/>
        <v>NtrAntaly237.PQTC.18.03.26</v>
      </c>
      <c r="L238" s="22" t="str">
        <f t="shared" si="8"/>
        <v>237 NtrAntaly237.PQTC.18.03.26 Анталья Делик-Дениз</v>
      </c>
    </row>
    <row r="239" spans="1:12">
      <c r="A239" s="5">
        <v>238</v>
      </c>
      <c r="C239" s="22" t="s">
        <v>10</v>
      </c>
      <c r="D239" s="23" t="s">
        <v>338</v>
      </c>
      <c r="E239" s="6" t="str">
        <f t="shared" si="6"/>
        <v>238.</v>
      </c>
      <c r="F239" s="22" t="s">
        <v>13</v>
      </c>
      <c r="G239" s="8" t="s">
        <v>352</v>
      </c>
      <c r="H239" s="9" t="s">
        <v>351</v>
      </c>
      <c r="J239" s="24" t="str">
        <f t="shared" si="7"/>
        <v>NtrAntaly238.PQTC.18.03.26</v>
      </c>
      <c r="L239" s="22" t="str">
        <f t="shared" si="8"/>
        <v>238 NtrAntaly238.PQTC.18.03.26 Анталья порт Калеичи</v>
      </c>
    </row>
    <row r="240" spans="1:12">
      <c r="A240" s="5">
        <v>239</v>
      </c>
      <c r="C240" s="22" t="s">
        <v>10</v>
      </c>
      <c r="D240" s="23" t="s">
        <v>338</v>
      </c>
      <c r="E240" s="6" t="str">
        <f t="shared" si="6"/>
        <v>239.</v>
      </c>
      <c r="F240" s="22" t="s">
        <v>13</v>
      </c>
      <c r="G240" s="8" t="s">
        <v>352</v>
      </c>
      <c r="H240" s="9" t="s">
        <v>355</v>
      </c>
      <c r="J240" s="24" t="str">
        <f t="shared" si="7"/>
        <v>NtrAntaly239.PQTC.18.03.26</v>
      </c>
      <c r="L240" s="22" t="str">
        <f t="shared" si="8"/>
        <v>239 NtrAntaly239.PQTC.18.03.26 Анталья </v>
      </c>
    </row>
    <row r="241" spans="1:12">
      <c r="A241" s="5">
        <v>240</v>
      </c>
      <c r="C241" s="22" t="s">
        <v>10</v>
      </c>
      <c r="D241" s="23" t="s">
        <v>338</v>
      </c>
      <c r="E241" s="6" t="str">
        <f t="shared" si="6"/>
        <v>240.</v>
      </c>
      <c r="F241" s="22" t="s">
        <v>13</v>
      </c>
      <c r="G241" s="8" t="s">
        <v>352</v>
      </c>
      <c r="H241" s="9" t="s">
        <v>351</v>
      </c>
      <c r="J241" s="24" t="str">
        <f t="shared" si="7"/>
        <v>NtrAntaly240.PQTC.18.03.26</v>
      </c>
      <c r="L241" s="22" t="str">
        <f t="shared" si="8"/>
        <v>240 NtrAntaly240.PQTC.18.03.26 Анталья порт Калеичи</v>
      </c>
    </row>
    <row r="242" spans="1:12">
      <c r="A242" s="5">
        <v>241</v>
      </c>
      <c r="C242" s="22" t="s">
        <v>10</v>
      </c>
      <c r="D242" s="23" t="s">
        <v>338</v>
      </c>
      <c r="E242" s="6" t="str">
        <f t="shared" si="6"/>
        <v>241.</v>
      </c>
      <c r="F242" s="22" t="s">
        <v>13</v>
      </c>
      <c r="G242" s="8" t="s">
        <v>352</v>
      </c>
      <c r="H242" s="9" t="s">
        <v>351</v>
      </c>
      <c r="J242" s="24" t="str">
        <f t="shared" si="7"/>
        <v>NtrAntaly241.PQTC.18.03.26</v>
      </c>
      <c r="L242" s="22" t="str">
        <f t="shared" si="8"/>
        <v>241 NtrAntaly241.PQTC.18.03.26 Анталья порт Калеичи</v>
      </c>
    </row>
    <row r="243" spans="1:12">
      <c r="A243" s="5">
        <v>242</v>
      </c>
      <c r="C243" s="22" t="s">
        <v>10</v>
      </c>
      <c r="D243" s="23" t="s">
        <v>338</v>
      </c>
      <c r="E243" s="6" t="str">
        <f t="shared" si="6"/>
        <v>242.</v>
      </c>
      <c r="F243" s="22" t="s">
        <v>13</v>
      </c>
      <c r="G243" s="8" t="s">
        <v>352</v>
      </c>
      <c r="H243" s="9" t="s">
        <v>356</v>
      </c>
      <c r="J243" s="24" t="str">
        <f t="shared" si="7"/>
        <v>NtrAntaly242.PQTC.18.03.26</v>
      </c>
      <c r="L243" s="22" t="str">
        <f t="shared" si="8"/>
        <v>242 NtrAntaly242.PQTC.18.03.26 Анталья пейзаж</v>
      </c>
    </row>
    <row r="244" spans="1:12">
      <c r="A244" s="5">
        <v>243</v>
      </c>
      <c r="C244" s="22" t="s">
        <v>10</v>
      </c>
      <c r="D244" s="23" t="s">
        <v>338</v>
      </c>
      <c r="E244" s="6" t="str">
        <f t="shared" si="6"/>
        <v>243.</v>
      </c>
      <c r="F244" s="22" t="s">
        <v>13</v>
      </c>
      <c r="G244" s="8" t="s">
        <v>357</v>
      </c>
      <c r="H244" s="9" t="s">
        <v>358</v>
      </c>
      <c r="J244" s="24" t="str">
        <f t="shared" si="7"/>
        <v>NtrAntaly243.PQTC.20.03.26</v>
      </c>
      <c r="L244" s="22" t="str">
        <f t="shared" si="8"/>
        <v>243 NtrAntaly243.PQTC.20.03.26 Анталья Перге</v>
      </c>
    </row>
    <row r="245" spans="1:12">
      <c r="A245" s="5">
        <v>244</v>
      </c>
      <c r="C245" s="22" t="s">
        <v>10</v>
      </c>
      <c r="D245" s="23" t="s">
        <v>338</v>
      </c>
      <c r="E245" s="6" t="str">
        <f t="shared" si="6"/>
        <v>244.</v>
      </c>
      <c r="F245" s="22" t="s">
        <v>13</v>
      </c>
      <c r="G245" s="8" t="s">
        <v>357</v>
      </c>
      <c r="H245" s="9" t="s">
        <v>359</v>
      </c>
      <c r="J245" s="24" t="str">
        <f t="shared" si="7"/>
        <v>NtrAntaly244.PQTC.20.03.26</v>
      </c>
      <c r="L245" s="22" t="str">
        <f t="shared" si="8"/>
        <v>244 NtrAntaly244.PQTC.20.03.26 Анталья Фаселис</v>
      </c>
    </row>
    <row r="246" spans="1:12">
      <c r="A246" s="5">
        <v>245</v>
      </c>
      <c r="C246" s="22" t="s">
        <v>10</v>
      </c>
      <c r="D246" s="23" t="s">
        <v>338</v>
      </c>
      <c r="E246" s="6" t="str">
        <f t="shared" si="6"/>
        <v>245.</v>
      </c>
      <c r="F246" s="22" t="s">
        <v>13</v>
      </c>
      <c r="G246" s="8" t="s">
        <v>357</v>
      </c>
      <c r="H246" s="9" t="s">
        <v>358</v>
      </c>
      <c r="J246" s="24" t="str">
        <f t="shared" si="7"/>
        <v>NtrAntaly245.PQTC.20.03.26</v>
      </c>
      <c r="L246" s="22" t="str">
        <f t="shared" si="8"/>
        <v>245 NtrAntaly245.PQTC.20.03.26 Анталья Перге</v>
      </c>
    </row>
    <row r="247" spans="1:12">
      <c r="A247" s="5">
        <v>246</v>
      </c>
      <c r="C247" s="22" t="s">
        <v>10</v>
      </c>
      <c r="D247" s="23" t="s">
        <v>338</v>
      </c>
      <c r="E247" s="6" t="str">
        <f t="shared" si="6"/>
        <v>246.</v>
      </c>
      <c r="F247" s="22" t="s">
        <v>13</v>
      </c>
      <c r="G247" s="8" t="s">
        <v>357</v>
      </c>
      <c r="H247" s="9" t="s">
        <v>358</v>
      </c>
      <c r="J247" s="24" t="str">
        <f t="shared" si="7"/>
        <v>NtrAntaly246.PQTC.20.03.26</v>
      </c>
      <c r="L247" s="22" t="str">
        <f t="shared" si="8"/>
        <v>246 NtrAntaly246.PQTC.20.03.26 Анталья Перге</v>
      </c>
    </row>
    <row r="248" spans="1:12">
      <c r="A248" s="5">
        <v>247</v>
      </c>
      <c r="C248" s="22" t="s">
        <v>10</v>
      </c>
      <c r="D248" s="23" t="s">
        <v>338</v>
      </c>
      <c r="E248" s="6" t="str">
        <f t="shared" si="6"/>
        <v>247.</v>
      </c>
      <c r="F248" s="22" t="s">
        <v>13</v>
      </c>
      <c r="G248" s="8" t="s">
        <v>357</v>
      </c>
      <c r="H248" s="9" t="s">
        <v>345</v>
      </c>
      <c r="J248" s="24" t="str">
        <f t="shared" si="7"/>
        <v>NtrAntaly247.PQTC.20.03.26</v>
      </c>
      <c r="L248" s="22" t="str">
        <f t="shared" si="8"/>
        <v>247 NtrAntaly247.PQTC.20.03.26 Анталья минарет Кесик</v>
      </c>
    </row>
    <row r="249" spans="1:12">
      <c r="A249" s="5">
        <v>248</v>
      </c>
      <c r="C249" s="22" t="s">
        <v>10</v>
      </c>
      <c r="D249" s="23" t="s">
        <v>338</v>
      </c>
      <c r="E249" s="6" t="str">
        <f t="shared" si="6"/>
        <v>248.</v>
      </c>
      <c r="F249" s="22" t="s">
        <v>13</v>
      </c>
      <c r="G249" s="8" t="s">
        <v>357</v>
      </c>
      <c r="H249" s="9" t="s">
        <v>345</v>
      </c>
      <c r="J249" s="24" t="str">
        <f t="shared" si="7"/>
        <v>NtrAntaly248.PQTC.20.03.26</v>
      </c>
      <c r="L249" s="22" t="str">
        <f t="shared" si="8"/>
        <v>248 NtrAntaly248.PQTC.20.03.26 Анталья минарет Кесик</v>
      </c>
    </row>
    <row r="250" spans="1:12">
      <c r="A250" s="5">
        <v>249</v>
      </c>
      <c r="C250" s="22" t="s">
        <v>10</v>
      </c>
      <c r="D250" s="23" t="s">
        <v>338</v>
      </c>
      <c r="E250" s="6" t="str">
        <f t="shared" si="6"/>
        <v>249.</v>
      </c>
      <c r="F250" s="22" t="s">
        <v>13</v>
      </c>
      <c r="G250" s="8" t="s">
        <v>357</v>
      </c>
      <c r="H250" s="9" t="s">
        <v>360</v>
      </c>
      <c r="J250" s="24" t="str">
        <f t="shared" si="7"/>
        <v>NtrAntaly249.PQTC.20.03.26</v>
      </c>
      <c r="L250" s="22" t="str">
        <f t="shared" si="8"/>
        <v>249 NtrAntaly249.PQTC.20.03.26 Анталья Аспендос</v>
      </c>
    </row>
    <row r="251" spans="1:12">
      <c r="A251" s="5">
        <v>250</v>
      </c>
      <c r="C251" s="22" t="s">
        <v>10</v>
      </c>
      <c r="D251" s="23" t="s">
        <v>338</v>
      </c>
      <c r="E251" s="6" t="str">
        <f t="shared" si="6"/>
        <v>250.</v>
      </c>
      <c r="F251" s="22" t="s">
        <v>13</v>
      </c>
      <c r="G251" s="8" t="s">
        <v>357</v>
      </c>
      <c r="H251" s="9" t="s">
        <v>361</v>
      </c>
      <c r="J251" s="24" t="str">
        <f t="shared" si="7"/>
        <v>NtrAntaly250.PQTC.20.03.26</v>
      </c>
      <c r="L251" s="22" t="str">
        <f t="shared" si="8"/>
        <v>250 NtrAntaly250.PQTC.20.03.26 Анталья античный театр Сиде</v>
      </c>
    </row>
    <row r="252" spans="1:12">
      <c r="A252" s="5">
        <v>251</v>
      </c>
      <c r="C252" s="22" t="s">
        <v>10</v>
      </c>
      <c r="D252" s="23" t="s">
        <v>338</v>
      </c>
      <c r="E252" s="6" t="str">
        <f t="shared" ref="E252:E315" si="9">A252&amp;"."</f>
        <v>251.</v>
      </c>
      <c r="F252" s="22" t="s">
        <v>13</v>
      </c>
      <c r="G252" s="8" t="s">
        <v>357</v>
      </c>
      <c r="H252" s="9" t="s">
        <v>359</v>
      </c>
      <c r="J252" s="24" t="str">
        <f t="shared" si="7"/>
        <v>NtrAntaly251.PQTC.20.03.26</v>
      </c>
      <c r="L252" s="22" t="str">
        <f t="shared" si="8"/>
        <v>251 NtrAntaly251.PQTC.20.03.26 Анталья Фаселис</v>
      </c>
    </row>
    <row r="253" spans="1:12">
      <c r="A253" s="5">
        <v>252</v>
      </c>
      <c r="C253" s="22" t="s">
        <v>10</v>
      </c>
      <c r="D253" s="23" t="s">
        <v>338</v>
      </c>
      <c r="E253" s="6" t="str">
        <f t="shared" si="9"/>
        <v>252.</v>
      </c>
      <c r="F253" s="22" t="s">
        <v>13</v>
      </c>
      <c r="G253" s="8" t="s">
        <v>357</v>
      </c>
      <c r="H253" s="9" t="s">
        <v>358</v>
      </c>
      <c r="J253" s="24" t="str">
        <f t="shared" si="7"/>
        <v>NtrAntaly252.PQTC.20.03.26</v>
      </c>
      <c r="L253" s="22" t="str">
        <f t="shared" si="8"/>
        <v>252 NtrAntaly252.PQTC.20.03.26 Анталья Перге</v>
      </c>
    </row>
    <row r="254" spans="1:12">
      <c r="A254" s="5">
        <v>253</v>
      </c>
      <c r="C254" s="22" t="s">
        <v>10</v>
      </c>
      <c r="D254" s="23" t="s">
        <v>338</v>
      </c>
      <c r="E254" s="6" t="str">
        <f t="shared" si="9"/>
        <v>253.</v>
      </c>
      <c r="F254" s="22" t="s">
        <v>13</v>
      </c>
      <c r="G254" s="8" t="s">
        <v>357</v>
      </c>
      <c r="H254" s="9" t="s">
        <v>359</v>
      </c>
      <c r="J254" s="24" t="str">
        <f t="shared" si="7"/>
        <v>NtrAntaly253.PQTC.20.03.26</v>
      </c>
      <c r="L254" s="22" t="str">
        <f t="shared" si="8"/>
        <v>253 NtrAntaly253.PQTC.20.03.26 Анталья Фаселис</v>
      </c>
    </row>
    <row r="255" spans="1:12">
      <c r="A255" s="5">
        <v>254</v>
      </c>
      <c r="C255" s="22" t="s">
        <v>10</v>
      </c>
      <c r="D255" s="23" t="s">
        <v>338</v>
      </c>
      <c r="E255" s="6" t="str">
        <f t="shared" si="9"/>
        <v>254.</v>
      </c>
      <c r="F255" s="22" t="s">
        <v>13</v>
      </c>
      <c r="G255" s="8" t="s">
        <v>362</v>
      </c>
      <c r="H255" s="9" t="s">
        <v>359</v>
      </c>
      <c r="J255" s="24" t="str">
        <f t="shared" si="7"/>
        <v>NtrAntaly254.PQTC.21.03.26</v>
      </c>
      <c r="L255" s="22" t="str">
        <f t="shared" si="8"/>
        <v>254 NtrAntaly254.PQTC.21.03.26 Анталья Фаселис</v>
      </c>
    </row>
    <row r="256" spans="1:12">
      <c r="A256" s="5">
        <v>255</v>
      </c>
      <c r="C256" s="22" t="s">
        <v>10</v>
      </c>
      <c r="D256" s="23" t="s">
        <v>338</v>
      </c>
      <c r="E256" s="6" t="str">
        <f t="shared" si="9"/>
        <v>255.</v>
      </c>
      <c r="F256" s="22" t="s">
        <v>13</v>
      </c>
      <c r="G256" s="8" t="s">
        <v>362</v>
      </c>
      <c r="H256" s="9" t="s">
        <v>358</v>
      </c>
      <c r="J256" s="24" t="str">
        <f t="shared" si="7"/>
        <v>NtrAntaly255.PQTC.21.03.26</v>
      </c>
      <c r="L256" s="22" t="str">
        <f t="shared" si="8"/>
        <v>255 NtrAntaly255.PQTC.21.03.26 Анталья Перге</v>
      </c>
    </row>
    <row r="257" spans="1:12">
      <c r="A257" s="5">
        <v>256</v>
      </c>
      <c r="C257" s="22" t="s">
        <v>10</v>
      </c>
      <c r="D257" s="23" t="s">
        <v>338</v>
      </c>
      <c r="E257" s="6" t="str">
        <f t="shared" si="9"/>
        <v>256.</v>
      </c>
      <c r="F257" s="22" t="s">
        <v>13</v>
      </c>
      <c r="G257" s="8" t="s">
        <v>362</v>
      </c>
      <c r="H257" s="9" t="s">
        <v>358</v>
      </c>
      <c r="J257" s="24" t="str">
        <f t="shared" si="7"/>
        <v>NtrAntaly256.PQTC.21.03.26</v>
      </c>
      <c r="L257" s="22" t="str">
        <f t="shared" si="8"/>
        <v>256 NtrAntaly256.PQTC.21.03.26 Анталья Перге</v>
      </c>
    </row>
    <row r="258" spans="1:12">
      <c r="A258" s="5">
        <v>257</v>
      </c>
      <c r="C258" s="22" t="s">
        <v>10</v>
      </c>
      <c r="D258" s="23" t="s">
        <v>338</v>
      </c>
      <c r="E258" s="6" t="str">
        <f t="shared" si="9"/>
        <v>257.</v>
      </c>
      <c r="F258" s="22" t="s">
        <v>13</v>
      </c>
      <c r="G258" s="8" t="s">
        <v>362</v>
      </c>
      <c r="H258" s="9" t="s">
        <v>363</v>
      </c>
      <c r="J258" s="24" t="str">
        <f t="shared" ref="J258:J321" si="10">C258&amp;D258&amp;E258&amp;F258&amp;G258</f>
        <v>NtrAntaly257.PQTC.21.03.26</v>
      </c>
      <c r="L258" s="22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22" t="s">
        <v>10</v>
      </c>
      <c r="D259" s="23" t="s">
        <v>338</v>
      </c>
      <c r="E259" s="6" t="str">
        <f t="shared" si="9"/>
        <v>258.</v>
      </c>
      <c r="F259" s="22" t="s">
        <v>13</v>
      </c>
      <c r="G259" s="8" t="s">
        <v>362</v>
      </c>
      <c r="H259" s="9" t="s">
        <v>364</v>
      </c>
      <c r="J259" s="24" t="str">
        <f t="shared" si="10"/>
        <v>NtrAntaly258.PQTC.21.03.26</v>
      </c>
      <c r="L259" s="22" t="str">
        <f t="shared" si="11"/>
        <v>258 NtrAntaly258.PQTC.21.03.26 Анталья Сиде</v>
      </c>
    </row>
    <row r="260" spans="1:12">
      <c r="A260" s="5">
        <v>259</v>
      </c>
      <c r="C260" s="22" t="s">
        <v>10</v>
      </c>
      <c r="D260" s="23" t="s">
        <v>338</v>
      </c>
      <c r="E260" s="6" t="str">
        <f t="shared" si="9"/>
        <v>259.</v>
      </c>
      <c r="F260" s="22" t="s">
        <v>13</v>
      </c>
      <c r="G260" s="8" t="s">
        <v>362</v>
      </c>
      <c r="H260" s="9" t="s">
        <v>358</v>
      </c>
      <c r="J260" s="24" t="str">
        <f t="shared" si="10"/>
        <v>NtrAntaly259.PQTC.21.03.26</v>
      </c>
      <c r="L260" s="22" t="str">
        <f t="shared" si="11"/>
        <v>259 NtrAntaly259.PQTC.21.03.26 Анталья Перге</v>
      </c>
    </row>
    <row r="261" spans="1:12">
      <c r="A261" s="5">
        <v>260</v>
      </c>
      <c r="C261" s="22" t="s">
        <v>10</v>
      </c>
      <c r="D261" s="23" t="s">
        <v>338</v>
      </c>
      <c r="E261" s="6" t="str">
        <f t="shared" si="9"/>
        <v>260.</v>
      </c>
      <c r="F261" s="22" t="s">
        <v>13</v>
      </c>
      <c r="G261" s="8" t="s">
        <v>362</v>
      </c>
      <c r="H261" s="9" t="s">
        <v>360</v>
      </c>
      <c r="J261" s="24" t="str">
        <f t="shared" si="10"/>
        <v>NtrAntaly260.PQTC.21.03.26</v>
      </c>
      <c r="L261" s="22" t="str">
        <f t="shared" si="11"/>
        <v>260 NtrAntaly260.PQTC.21.03.26 Анталья Аспендос</v>
      </c>
    </row>
    <row r="262" spans="1:12">
      <c r="A262" s="5">
        <v>261</v>
      </c>
      <c r="C262" s="22" t="s">
        <v>10</v>
      </c>
      <c r="D262" s="23" t="s">
        <v>338</v>
      </c>
      <c r="E262" s="6" t="str">
        <f t="shared" si="9"/>
        <v>261.</v>
      </c>
      <c r="F262" s="22" t="s">
        <v>13</v>
      </c>
      <c r="G262" s="8" t="s">
        <v>362</v>
      </c>
      <c r="H262" s="9" t="s">
        <v>360</v>
      </c>
      <c r="J262" s="24" t="str">
        <f t="shared" si="10"/>
        <v>NtrAntaly261.PQTC.21.03.26</v>
      </c>
      <c r="L262" s="22" t="str">
        <f t="shared" si="11"/>
        <v>261 NtrAntaly261.PQTC.21.03.26 Анталья Аспендос</v>
      </c>
    </row>
    <row r="263" spans="1:12">
      <c r="A263" s="5">
        <v>262</v>
      </c>
      <c r="C263" s="22" t="s">
        <v>10</v>
      </c>
      <c r="D263" s="23" t="s">
        <v>338</v>
      </c>
      <c r="E263" s="6" t="str">
        <f t="shared" si="9"/>
        <v>262.</v>
      </c>
      <c r="F263" s="22" t="s">
        <v>13</v>
      </c>
      <c r="G263" s="8" t="s">
        <v>362</v>
      </c>
      <c r="H263" s="9" t="s">
        <v>359</v>
      </c>
      <c r="J263" s="24" t="str">
        <f t="shared" si="10"/>
        <v>NtrAntaly262.PQTC.21.03.26</v>
      </c>
      <c r="L263" s="22" t="str">
        <f t="shared" si="11"/>
        <v>262 NtrAntaly262.PQTC.21.03.26 Анталья Фаселис</v>
      </c>
    </row>
    <row r="264" spans="1:12">
      <c r="A264" s="5">
        <v>263</v>
      </c>
      <c r="C264" s="22" t="s">
        <v>10</v>
      </c>
      <c r="D264" s="23" t="s">
        <v>338</v>
      </c>
      <c r="E264" s="6" t="str">
        <f t="shared" si="9"/>
        <v>263.</v>
      </c>
      <c r="F264" s="22" t="s">
        <v>13</v>
      </c>
      <c r="G264" s="8" t="s">
        <v>362</v>
      </c>
      <c r="H264" s="9" t="s">
        <v>364</v>
      </c>
      <c r="J264" s="24" t="str">
        <f t="shared" si="10"/>
        <v>NtrAntaly263.PQTC.21.03.26</v>
      </c>
      <c r="L264" s="22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22" t="s">
        <v>13</v>
      </c>
      <c r="G265" s="8" t="s">
        <v>365</v>
      </c>
      <c r="H265" s="9" t="s">
        <v>366</v>
      </c>
      <c r="J265" s="24" t="str">
        <f t="shared" si="10"/>
        <v>CupDBDGam264.PQTC.24.03.26</v>
      </c>
      <c r="L265" s="22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22" t="s">
        <v>13</v>
      </c>
      <c r="G266" s="8" t="s">
        <v>365</v>
      </c>
      <c r="H266" s="9" t="s">
        <v>367</v>
      </c>
      <c r="J266" s="24" t="str">
        <f t="shared" si="10"/>
        <v>CupDBDGam265.PQTC.24.03.26</v>
      </c>
      <c r="L266" s="22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22" t="s">
        <v>13</v>
      </c>
      <c r="G267" s="8" t="s">
        <v>365</v>
      </c>
      <c r="H267" s="9" t="s">
        <v>368</v>
      </c>
      <c r="J267" s="24" t="str">
        <f t="shared" si="10"/>
        <v>CupDBDGam266.PQTC.24.03.26</v>
      </c>
      <c r="L267" s="22" t="str">
        <f t="shared" si="11"/>
        <v>266 CupDBDGam266.PQTC.24.03.26 DBD Resident Evil: PROJECT W</v>
      </c>
    </row>
    <row r="268" spans="1:12">
      <c r="A268" s="5">
        <v>267</v>
      </c>
      <c r="C268" s="22" t="s">
        <v>10</v>
      </c>
      <c r="D268" s="23" t="s">
        <v>338</v>
      </c>
      <c r="E268" s="6" t="str">
        <f t="shared" si="9"/>
        <v>267.</v>
      </c>
      <c r="F268" s="22" t="s">
        <v>13</v>
      </c>
      <c r="G268" s="8" t="s">
        <v>369</v>
      </c>
      <c r="H268" s="9" t="s">
        <v>370</v>
      </c>
      <c r="J268" s="24" t="str">
        <f t="shared" si="10"/>
        <v>NtrAntaly267.PQTC.22.03.26</v>
      </c>
      <c r="L268" s="22" t="str">
        <f t="shared" si="11"/>
        <v>267 NtrAntaly267.PQTC.22.03.26 Анталья Аланья</v>
      </c>
    </row>
    <row r="269" spans="1:12">
      <c r="A269" s="5">
        <v>268</v>
      </c>
      <c r="C269" s="22" t="s">
        <v>10</v>
      </c>
      <c r="D269" s="23" t="s">
        <v>338</v>
      </c>
      <c r="E269" s="6" t="str">
        <f t="shared" si="9"/>
        <v>268.</v>
      </c>
      <c r="F269" s="22" t="s">
        <v>13</v>
      </c>
      <c r="G269" s="8" t="s">
        <v>369</v>
      </c>
      <c r="H269" s="9" t="s">
        <v>364</v>
      </c>
      <c r="J269" s="24" t="str">
        <f t="shared" si="10"/>
        <v>NtrAntaly268.PQTC.22.03.26</v>
      </c>
      <c r="L269" s="22" t="str">
        <f t="shared" si="11"/>
        <v>268 NtrAntaly268.PQTC.22.03.26 Анталья Сиде</v>
      </c>
    </row>
    <row r="270" spans="1:12">
      <c r="A270" s="5">
        <v>269</v>
      </c>
      <c r="C270" s="22" t="s">
        <v>10</v>
      </c>
      <c r="D270" s="23" t="s">
        <v>338</v>
      </c>
      <c r="E270" s="6" t="str">
        <f t="shared" si="9"/>
        <v>269.</v>
      </c>
      <c r="F270" s="22" t="s">
        <v>13</v>
      </c>
      <c r="G270" s="8" t="s">
        <v>369</v>
      </c>
      <c r="H270" s="9" t="s">
        <v>358</v>
      </c>
      <c r="J270" s="24" t="str">
        <f t="shared" si="10"/>
        <v>NtrAntaly269.PQTC.22.03.26</v>
      </c>
      <c r="L270" s="22" t="str">
        <f t="shared" si="11"/>
        <v>269 NtrAntaly269.PQTC.22.03.26 Анталья Перге</v>
      </c>
    </row>
    <row r="271" spans="1:12">
      <c r="A271" s="5">
        <v>270</v>
      </c>
      <c r="C271" s="22" t="s">
        <v>10</v>
      </c>
      <c r="D271" s="23" t="s">
        <v>338</v>
      </c>
      <c r="E271" s="6" t="str">
        <f t="shared" si="9"/>
        <v>270.</v>
      </c>
      <c r="F271" s="22" t="s">
        <v>13</v>
      </c>
      <c r="G271" s="8" t="s">
        <v>369</v>
      </c>
      <c r="H271" s="9" t="s">
        <v>360</v>
      </c>
      <c r="J271" s="24" t="str">
        <f t="shared" si="10"/>
        <v>NtrAntaly270.PQTC.22.03.26</v>
      </c>
      <c r="L271" s="22" t="str">
        <f t="shared" si="11"/>
        <v>270 NtrAntaly270.PQTC.22.03.26 Анталья Аспендос</v>
      </c>
    </row>
    <row r="272" spans="1:12">
      <c r="A272" s="5">
        <v>271</v>
      </c>
      <c r="C272" s="22" t="s">
        <v>10</v>
      </c>
      <c r="D272" s="23" t="s">
        <v>338</v>
      </c>
      <c r="E272" s="6" t="str">
        <f t="shared" si="9"/>
        <v>271.</v>
      </c>
      <c r="F272" s="22" t="s">
        <v>13</v>
      </c>
      <c r="G272" s="8" t="s">
        <v>369</v>
      </c>
      <c r="H272" s="9" t="s">
        <v>359</v>
      </c>
      <c r="J272" s="24" t="str">
        <f t="shared" si="10"/>
        <v>NtrAntaly271.PQTC.22.03.26</v>
      </c>
      <c r="L272" s="22" t="str">
        <f t="shared" si="11"/>
        <v>271 NtrAntaly271.PQTC.22.03.26 Анталья Фаселис</v>
      </c>
    </row>
    <row r="273" spans="1:12">
      <c r="A273" s="5">
        <v>272</v>
      </c>
      <c r="C273" s="22" t="s">
        <v>10</v>
      </c>
      <c r="D273" s="23" t="s">
        <v>338</v>
      </c>
      <c r="E273" s="6" t="str">
        <f t="shared" si="9"/>
        <v>272.</v>
      </c>
      <c r="F273" s="22" t="s">
        <v>13</v>
      </c>
      <c r="G273" s="8" t="s">
        <v>369</v>
      </c>
      <c r="H273" s="9" t="s">
        <v>359</v>
      </c>
      <c r="J273" s="24" t="str">
        <f t="shared" si="10"/>
        <v>NtrAntaly272.PQTC.22.03.26</v>
      </c>
      <c r="L273" s="22" t="str">
        <f t="shared" si="11"/>
        <v>272 NtrAntaly272.PQTC.22.03.26 Анталья Фаселис</v>
      </c>
    </row>
    <row r="274" spans="1:12">
      <c r="A274" s="5">
        <v>273</v>
      </c>
      <c r="C274" s="22" t="s">
        <v>10</v>
      </c>
      <c r="D274" s="23" t="s">
        <v>338</v>
      </c>
      <c r="E274" s="6" t="str">
        <f t="shared" si="9"/>
        <v>273.</v>
      </c>
      <c r="F274" s="22" t="s">
        <v>13</v>
      </c>
      <c r="G274" s="8" t="s">
        <v>369</v>
      </c>
      <c r="H274" s="9" t="s">
        <v>363</v>
      </c>
      <c r="J274" s="24" t="str">
        <f t="shared" si="10"/>
        <v>NtrAntaly273.PQTC.22.03.26</v>
      </c>
      <c r="L274" s="22" t="str">
        <f t="shared" si="11"/>
        <v>273 NtrAntaly273.PQTC.22.03.26 Анталья храм Аполлона Сиде</v>
      </c>
    </row>
    <row r="275" spans="1:12">
      <c r="A275" s="5">
        <v>274</v>
      </c>
      <c r="C275" s="22" t="s">
        <v>10</v>
      </c>
      <c r="D275" s="23" t="s">
        <v>338</v>
      </c>
      <c r="E275" s="6" t="str">
        <f t="shared" si="9"/>
        <v>274.</v>
      </c>
      <c r="F275" s="22" t="s">
        <v>13</v>
      </c>
      <c r="G275" s="8" t="s">
        <v>369</v>
      </c>
      <c r="H275" s="9" t="s">
        <v>358</v>
      </c>
      <c r="J275" s="24" t="str">
        <f t="shared" si="10"/>
        <v>NtrAntaly274.PQTC.22.03.26</v>
      </c>
      <c r="L275" s="22" t="str">
        <f t="shared" si="11"/>
        <v>274 NtrAntaly274.PQTC.22.03.26 Анталья Перге</v>
      </c>
    </row>
    <row r="276" spans="1:12">
      <c r="A276" s="5">
        <v>275</v>
      </c>
      <c r="C276" s="22" t="s">
        <v>10</v>
      </c>
      <c r="D276" s="23" t="s">
        <v>338</v>
      </c>
      <c r="E276" s="6" t="str">
        <f t="shared" si="9"/>
        <v>275.</v>
      </c>
      <c r="F276" s="22" t="s">
        <v>13</v>
      </c>
      <c r="G276" s="8" t="s">
        <v>369</v>
      </c>
      <c r="H276" s="9" t="s">
        <v>359</v>
      </c>
      <c r="J276" s="24" t="str">
        <f t="shared" si="10"/>
        <v>NtrAntaly275.PQTC.22.03.26</v>
      </c>
      <c r="L276" s="22" t="str">
        <f t="shared" si="11"/>
        <v>275 NtrAntaly275.PQTC.22.03.26 Анталья Фаселис</v>
      </c>
    </row>
    <row r="277" spans="1:12">
      <c r="A277" s="5">
        <v>276</v>
      </c>
      <c r="C277" s="22" t="s">
        <v>10</v>
      </c>
      <c r="D277" s="23" t="s">
        <v>338</v>
      </c>
      <c r="E277" s="6" t="str">
        <f t="shared" si="9"/>
        <v>276.</v>
      </c>
      <c r="F277" s="22" t="s">
        <v>13</v>
      </c>
      <c r="G277" s="8" t="s">
        <v>369</v>
      </c>
      <c r="H277" s="9" t="s">
        <v>360</v>
      </c>
      <c r="J277" s="24" t="str">
        <f t="shared" si="10"/>
        <v>NtrAntaly276.PQTC.22.03.26</v>
      </c>
      <c r="L277" s="22" t="str">
        <f t="shared" si="11"/>
        <v>276 NtrAntaly276.PQTC.22.03.26 Анталья Аспендос</v>
      </c>
    </row>
    <row r="278" spans="1:12">
      <c r="A278" s="5">
        <v>277</v>
      </c>
      <c r="C278" s="22" t="s">
        <v>10</v>
      </c>
      <c r="D278" s="23" t="s">
        <v>338</v>
      </c>
      <c r="E278" s="6" t="str">
        <f t="shared" si="9"/>
        <v>277.</v>
      </c>
      <c r="F278" s="22" t="s">
        <v>13</v>
      </c>
      <c r="G278" s="8" t="s">
        <v>369</v>
      </c>
      <c r="H278" s="9" t="s">
        <v>358</v>
      </c>
      <c r="J278" s="24" t="str">
        <f t="shared" si="10"/>
        <v>NtrAntaly277.PQTC.22.03.26</v>
      </c>
      <c r="L278" s="22" t="str">
        <f t="shared" si="11"/>
        <v>277 NtrAntaly277.PQTC.22.03.26 Анталья Перге</v>
      </c>
    </row>
    <row r="279" spans="1:12">
      <c r="A279" s="5">
        <v>278</v>
      </c>
      <c r="C279" s="22" t="s">
        <v>10</v>
      </c>
      <c r="D279" s="23" t="s">
        <v>338</v>
      </c>
      <c r="E279" s="6" t="str">
        <f t="shared" si="9"/>
        <v>278.</v>
      </c>
      <c r="F279" s="22" t="s">
        <v>13</v>
      </c>
      <c r="G279" s="8" t="s">
        <v>369</v>
      </c>
      <c r="H279" s="9" t="s">
        <v>358</v>
      </c>
      <c r="J279" s="24" t="str">
        <f t="shared" si="10"/>
        <v>NtrAntaly278.PQTC.22.03.26</v>
      </c>
      <c r="L279" s="22" t="str">
        <f t="shared" si="11"/>
        <v>278 NtrAntaly278.PQTC.22.03.26 Анталья Перге</v>
      </c>
    </row>
    <row r="280" spans="1:12">
      <c r="A280" s="5">
        <v>279</v>
      </c>
      <c r="C280" s="22" t="s">
        <v>10</v>
      </c>
      <c r="D280" s="23" t="s">
        <v>338</v>
      </c>
      <c r="E280" s="6" t="str">
        <f t="shared" si="9"/>
        <v>279.</v>
      </c>
      <c r="F280" s="22" t="s">
        <v>13</v>
      </c>
      <c r="G280" s="8" t="s">
        <v>371</v>
      </c>
      <c r="H280" s="9" t="s">
        <v>372</v>
      </c>
      <c r="J280" s="24" t="str">
        <f t="shared" si="10"/>
        <v>NtrAntaly279.PQTC.25.03.26</v>
      </c>
      <c r="L280" s="22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22" t="s">
        <v>13</v>
      </c>
      <c r="G281" s="8" t="s">
        <v>365</v>
      </c>
      <c r="H281" s="9" t="s">
        <v>373</v>
      </c>
      <c r="J281" s="24" t="str">
        <f t="shared" si="10"/>
        <v>CupDBDGam280.PQTC.24.03.26</v>
      </c>
      <c r="L281" s="22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22" t="s">
        <v>13</v>
      </c>
      <c r="G282" s="8" t="s">
        <v>365</v>
      </c>
      <c r="H282" s="9" t="s">
        <v>374</v>
      </c>
      <c r="J282" s="24" t="str">
        <f t="shared" si="10"/>
        <v>CupDBDGam281.PQTC.24.03.26</v>
      </c>
      <c r="L282" s="22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22" t="s">
        <v>13</v>
      </c>
      <c r="G283" s="8" t="s">
        <v>365</v>
      </c>
      <c r="H283" s="9" t="s">
        <v>375</v>
      </c>
      <c r="J283" s="24" t="str">
        <f t="shared" si="10"/>
        <v>CupDBDGam282.PQTC.24.03.26</v>
      </c>
      <c r="L283" s="22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22" t="s">
        <v>13</v>
      </c>
      <c r="G284" s="8" t="s">
        <v>365</v>
      </c>
      <c r="H284" s="9" t="s">
        <v>376</v>
      </c>
      <c r="J284" s="24" t="str">
        <f t="shared" si="10"/>
        <v>CupDBDGam283.PQTC.24.03.26</v>
      </c>
      <c r="L284" s="22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22" t="s">
        <v>13</v>
      </c>
      <c r="G285" s="8" t="s">
        <v>365</v>
      </c>
      <c r="H285" s="9" t="s">
        <v>377</v>
      </c>
      <c r="J285" s="24" t="str">
        <f t="shared" si="10"/>
        <v>CupDBDGam284.PQTC.24.03.26</v>
      </c>
      <c r="L285" s="22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22" t="s">
        <v>13</v>
      </c>
      <c r="G286" s="8" t="s">
        <v>365</v>
      </c>
      <c r="H286" s="9" t="s">
        <v>378</v>
      </c>
      <c r="J286" s="24" t="str">
        <f t="shared" si="10"/>
        <v>CupDBDGam285.PQTC.24.03.26</v>
      </c>
      <c r="L286" s="22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22" t="s">
        <v>13</v>
      </c>
      <c r="G287" s="8" t="s">
        <v>365</v>
      </c>
      <c r="H287" s="9" t="s">
        <v>379</v>
      </c>
      <c r="J287" s="24" t="str">
        <f t="shared" si="10"/>
        <v>CupDBDGam286.PQTC.24.03.26</v>
      </c>
      <c r="L287" s="22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22" t="s">
        <v>13</v>
      </c>
      <c r="G288" s="8" t="s">
        <v>365</v>
      </c>
      <c r="H288" s="9" t="s">
        <v>380</v>
      </c>
      <c r="J288" s="24" t="str">
        <f t="shared" si="10"/>
        <v>CupDBDGam287.PQTC.24.03.26</v>
      </c>
      <c r="L288" s="22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22" t="s">
        <v>13</v>
      </c>
      <c r="G289" s="8" t="s">
        <v>365</v>
      </c>
      <c r="H289" s="9" t="s">
        <v>328</v>
      </c>
      <c r="J289" s="24" t="str">
        <f t="shared" si="10"/>
        <v>CupDBDGam288.PQTC.24.03.26</v>
      </c>
      <c r="L289" s="22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22" t="s">
        <v>13</v>
      </c>
      <c r="G290" s="8" t="s">
        <v>365</v>
      </c>
      <c r="H290" s="9" t="s">
        <v>381</v>
      </c>
      <c r="J290" s="24" t="str">
        <f t="shared" si="10"/>
        <v>CupDBDGam289.PQTC.24.03.26</v>
      </c>
      <c r="L290" s="22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22" t="s">
        <v>13</v>
      </c>
      <c r="G291" s="8" t="s">
        <v>365</v>
      </c>
      <c r="H291" s="9" t="s">
        <v>382</v>
      </c>
      <c r="J291" s="24" t="str">
        <f t="shared" si="10"/>
        <v>CupDBDGam290.PQTC.24.03.26</v>
      </c>
      <c r="L291" s="22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22" t="s">
        <v>13</v>
      </c>
      <c r="G292" s="8" t="s">
        <v>365</v>
      </c>
      <c r="H292" s="9" t="s">
        <v>383</v>
      </c>
      <c r="J292" s="24" t="str">
        <f t="shared" si="10"/>
        <v>CupDBDGam291.PQTC.24.03.26</v>
      </c>
      <c r="L292" s="22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22" t="s">
        <v>13</v>
      </c>
      <c r="G293" s="8" t="s">
        <v>365</v>
      </c>
      <c r="H293" s="9" t="s">
        <v>384</v>
      </c>
      <c r="J293" s="24" t="str">
        <f t="shared" si="10"/>
        <v>CupDBDGam292.PQTC.24.03.26</v>
      </c>
      <c r="L293" s="22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22" t="s">
        <v>13</v>
      </c>
      <c r="G294" s="8" t="s">
        <v>365</v>
      </c>
      <c r="H294" s="9" t="s">
        <v>385</v>
      </c>
      <c r="J294" s="24" t="str">
        <f t="shared" si="10"/>
        <v>CupDBDGam293.PQTC.24.03.26</v>
      </c>
      <c r="L294" s="22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22" t="s">
        <v>13</v>
      </c>
      <c r="G295" s="8" t="s">
        <v>365</v>
      </c>
      <c r="H295" s="9" t="s">
        <v>386</v>
      </c>
      <c r="J295" s="24" t="str">
        <f t="shared" si="10"/>
        <v>CupDBDGam294.PQTC.24.03.26</v>
      </c>
      <c r="L295" s="22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22" t="s">
        <v>13</v>
      </c>
      <c r="G296" s="8" t="s">
        <v>365</v>
      </c>
      <c r="H296" s="9" t="s">
        <v>387</v>
      </c>
      <c r="J296" s="24" t="str">
        <f t="shared" si="10"/>
        <v>CupDBDGam295.PQTC.24.03.26</v>
      </c>
      <c r="L296" s="22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22" t="s">
        <v>13</v>
      </c>
      <c r="G297" s="8" t="s">
        <v>365</v>
      </c>
      <c r="H297" s="9" t="s">
        <v>388</v>
      </c>
      <c r="J297" s="24" t="str">
        <f t="shared" si="10"/>
        <v>CupDBDGam296.PQTC.24.03.26</v>
      </c>
      <c r="L297" s="22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22" t="s">
        <v>13</v>
      </c>
      <c r="G298" s="8" t="s">
        <v>365</v>
      </c>
      <c r="H298" s="9" t="s">
        <v>389</v>
      </c>
      <c r="J298" s="24" t="str">
        <f t="shared" si="10"/>
        <v>CupDBDGam297.PQTC.24.03.26</v>
      </c>
      <c r="L298" s="22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22" t="s">
        <v>13</v>
      </c>
      <c r="G299" s="8" t="s">
        <v>365</v>
      </c>
      <c r="H299" s="9" t="s">
        <v>390</v>
      </c>
      <c r="J299" s="24" t="str">
        <f t="shared" si="10"/>
        <v>CupDBDGam298.PQTC.24.03.26</v>
      </c>
      <c r="L299" s="22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22" t="s">
        <v>13</v>
      </c>
      <c r="G300" s="8" t="s">
        <v>365</v>
      </c>
      <c r="H300" s="9" t="s">
        <v>391</v>
      </c>
      <c r="J300" s="24" t="str">
        <f t="shared" si="10"/>
        <v>CupDBDGam299.PQTC.24.03.26</v>
      </c>
      <c r="L300" s="22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22" t="s">
        <v>13</v>
      </c>
      <c r="G301" s="8" t="s">
        <v>365</v>
      </c>
      <c r="H301" s="9" t="s">
        <v>392</v>
      </c>
      <c r="J301" s="24" t="str">
        <f t="shared" si="10"/>
        <v>CupDBDGam300.PQTC.24.03.26</v>
      </c>
      <c r="L301" s="22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22" t="s">
        <v>13</v>
      </c>
      <c r="G302" s="8" t="s">
        <v>365</v>
      </c>
      <c r="H302" s="9" t="s">
        <v>393</v>
      </c>
      <c r="J302" s="24" t="str">
        <f t="shared" si="10"/>
        <v>CupDBDGam301.PQTC.24.03.26</v>
      </c>
      <c r="L302" s="22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22" t="s">
        <v>13</v>
      </c>
      <c r="G303" s="8" t="s">
        <v>371</v>
      </c>
      <c r="H303" s="9" t="s">
        <v>394</v>
      </c>
      <c r="J303" s="24" t="str">
        <f t="shared" si="10"/>
        <v>NtrAntaly302.PQTC.25.03.26</v>
      </c>
      <c r="L303" s="22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22" t="s">
        <v>13</v>
      </c>
      <c r="G304" s="8" t="s">
        <v>371</v>
      </c>
      <c r="H304" s="9" t="s">
        <v>394</v>
      </c>
      <c r="J304" s="24" t="str">
        <f t="shared" si="10"/>
        <v>NtrAntaly303.PQTC.25.03.26</v>
      </c>
      <c r="L304" s="22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22" t="s">
        <v>13</v>
      </c>
      <c r="G305" s="8" t="s">
        <v>371</v>
      </c>
      <c r="H305" s="9" t="s">
        <v>394</v>
      </c>
      <c r="J305" s="24" t="str">
        <f t="shared" si="10"/>
        <v>NtrAntaly304.PQTC.25.03.26</v>
      </c>
      <c r="L305" s="22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22" t="s">
        <v>13</v>
      </c>
      <c r="G306" s="8" t="s">
        <v>371</v>
      </c>
      <c r="H306" s="9" t="s">
        <v>394</v>
      </c>
      <c r="J306" s="24" t="str">
        <f t="shared" si="10"/>
        <v>NtrAntaly305.PQTC.25.03.26</v>
      </c>
      <c r="L306" s="22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22" t="s">
        <v>13</v>
      </c>
      <c r="G307" s="8" t="s">
        <v>371</v>
      </c>
      <c r="H307" s="9" t="s">
        <v>394</v>
      </c>
      <c r="J307" s="24" t="str">
        <f t="shared" si="10"/>
        <v>NtrAntaly306.PQTC.25.03.26</v>
      </c>
      <c r="L307" s="22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22" t="s">
        <v>13</v>
      </c>
      <c r="G308" s="8" t="s">
        <v>371</v>
      </c>
      <c r="H308" s="9" t="s">
        <v>394</v>
      </c>
      <c r="J308" s="24" t="str">
        <f t="shared" si="10"/>
        <v>NtrAntaly307.PQTC.25.03.26</v>
      </c>
      <c r="L308" s="22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22" t="s">
        <v>13</v>
      </c>
      <c r="G309" s="8" t="s">
        <v>371</v>
      </c>
      <c r="H309" s="9" t="s">
        <v>395</v>
      </c>
      <c r="J309" s="24" t="str">
        <f t="shared" si="10"/>
        <v>NtrAntaly308.PQTC.25.03.26</v>
      </c>
      <c r="L309" s="22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22" t="s">
        <v>13</v>
      </c>
      <c r="G310" s="8" t="s">
        <v>371</v>
      </c>
      <c r="H310" s="9" t="s">
        <v>395</v>
      </c>
      <c r="J310" s="24" t="str">
        <f t="shared" si="10"/>
        <v>NtrAntaly309.PQTC.25.03.26</v>
      </c>
      <c r="L310" s="22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22" t="s">
        <v>13</v>
      </c>
      <c r="G311" s="8" t="s">
        <v>371</v>
      </c>
      <c r="H311" s="9" t="s">
        <v>395</v>
      </c>
      <c r="J311" s="24" t="str">
        <f t="shared" si="10"/>
        <v>NtrAntaly310.PQTC.25.03.26</v>
      </c>
      <c r="L311" s="22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22" t="s">
        <v>13</v>
      </c>
      <c r="G312" s="8" t="s">
        <v>371</v>
      </c>
      <c r="H312" s="9" t="s">
        <v>395</v>
      </c>
      <c r="J312" s="24" t="str">
        <f t="shared" si="10"/>
        <v>NtrAntaly311.PQTC.25.03.26</v>
      </c>
      <c r="L312" s="22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22" t="s">
        <v>13</v>
      </c>
      <c r="G313" s="8" t="s">
        <v>371</v>
      </c>
      <c r="H313" s="9" t="s">
        <v>396</v>
      </c>
      <c r="J313" s="24" t="str">
        <f t="shared" si="10"/>
        <v>NtrAntaly312.PQTC.25.03.26</v>
      </c>
      <c r="L313" s="22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22" t="s">
        <v>13</v>
      </c>
      <c r="G314" s="8" t="s">
        <v>398</v>
      </c>
      <c r="H314" s="9" t="s">
        <v>399</v>
      </c>
      <c r="J314" s="24" t="str">
        <f t="shared" si="10"/>
        <v>CupDontSt313.PQTC.26.03.26</v>
      </c>
      <c r="L314" s="22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22" t="s">
        <v>13</v>
      </c>
      <c r="G315" s="8" t="s">
        <v>398</v>
      </c>
      <c r="H315" s="9" t="s">
        <v>400</v>
      </c>
      <c r="J315" s="24" t="str">
        <f t="shared" si="10"/>
        <v>CupDontSt314.PQTC.26.03.26</v>
      </c>
      <c r="L315" s="22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79" si="12">A316&amp;"."</f>
        <v>315.</v>
      </c>
      <c r="F316" s="22" t="s">
        <v>13</v>
      </c>
      <c r="G316" s="8" t="s">
        <v>398</v>
      </c>
      <c r="H316" s="9" t="s">
        <v>401</v>
      </c>
      <c r="J316" s="24" t="str">
        <f t="shared" si="10"/>
        <v>CupDontSt315.PQTC.26.03.26</v>
      </c>
      <c r="L316" s="22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22" t="s">
        <v>13</v>
      </c>
      <c r="G317" s="8" t="s">
        <v>398</v>
      </c>
      <c r="H317" s="9" t="s">
        <v>402</v>
      </c>
      <c r="J317" s="24" t="str">
        <f t="shared" si="10"/>
        <v>CupDontSt316.PQTC.26.03.26</v>
      </c>
      <c r="L317" s="22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22" t="s">
        <v>13</v>
      </c>
      <c r="G318" s="8" t="s">
        <v>398</v>
      </c>
      <c r="H318" s="9" t="s">
        <v>403</v>
      </c>
      <c r="J318" s="24" t="str">
        <f t="shared" si="10"/>
        <v>CupDontSt317.PQTC.26.03.26</v>
      </c>
      <c r="L318" s="22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22" t="s">
        <v>13</v>
      </c>
      <c r="G319" s="8" t="s">
        <v>398</v>
      </c>
      <c r="H319" s="9" t="s">
        <v>404</v>
      </c>
      <c r="J319" s="24" t="str">
        <f t="shared" si="10"/>
        <v>CupDontSt318.PQTC.26.03.26</v>
      </c>
      <c r="L319" s="22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22" t="s">
        <v>13</v>
      </c>
      <c r="G320" s="8" t="s">
        <v>398</v>
      </c>
      <c r="H320" s="9" t="s">
        <v>405</v>
      </c>
      <c r="J320" s="24" t="str">
        <f t="shared" si="10"/>
        <v>CupDontSt319.PQTC.26.03.26</v>
      </c>
      <c r="L320" s="22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22" t="s">
        <v>13</v>
      </c>
      <c r="G321" s="8" t="s">
        <v>398</v>
      </c>
      <c r="H321" s="9" t="s">
        <v>406</v>
      </c>
      <c r="J321" s="24" t="str">
        <f t="shared" si="10"/>
        <v>CupDontSt320.PQTC.26.03.26</v>
      </c>
      <c r="L321" s="22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22" t="s">
        <v>13</v>
      </c>
      <c r="G322" s="8" t="s">
        <v>398</v>
      </c>
      <c r="H322" s="9" t="s">
        <v>407</v>
      </c>
      <c r="J322" s="24" t="str">
        <f t="shared" ref="J322:J385" si="13">C322&amp;D322&amp;E322&amp;F322&amp;G322</f>
        <v>CupDontSt321.PQTC.26.03.26</v>
      </c>
      <c r="L322" s="22" t="str">
        <f t="shared" ref="L322:L385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22" t="s">
        <v>13</v>
      </c>
      <c r="G323" s="8" t="s">
        <v>398</v>
      </c>
      <c r="H323" s="9" t="s">
        <v>408</v>
      </c>
      <c r="J323" s="24" t="str">
        <f t="shared" si="13"/>
        <v>CupDontSt322.PQTC.26.03.26</v>
      </c>
      <c r="L323" s="22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22" t="s">
        <v>13</v>
      </c>
      <c r="G324" s="8" t="s">
        <v>398</v>
      </c>
      <c r="H324" s="9" t="s">
        <v>409</v>
      </c>
      <c r="J324" s="24" t="str">
        <f t="shared" si="13"/>
        <v>CupDontSt323.PQTC.26.03.26</v>
      </c>
      <c r="L324" s="22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22" t="s">
        <v>13</v>
      </c>
      <c r="G325" s="8" t="s">
        <v>410</v>
      </c>
      <c r="H325" s="9" t="s">
        <v>395</v>
      </c>
      <c r="J325" s="24" t="str">
        <f t="shared" si="13"/>
        <v>NtrAntaly324.PQTC.27.03.26</v>
      </c>
      <c r="L325" s="22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22" t="s">
        <v>13</v>
      </c>
      <c r="G326" s="8" t="s">
        <v>410</v>
      </c>
      <c r="H326" s="9" t="s">
        <v>395</v>
      </c>
      <c r="J326" s="24" t="str">
        <f t="shared" si="13"/>
        <v>NtrAntaly325.PQTC.27.03.26</v>
      </c>
      <c r="L326" s="22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22" t="s">
        <v>13</v>
      </c>
      <c r="G327" s="8" t="s">
        <v>410</v>
      </c>
      <c r="H327" s="9" t="s">
        <v>395</v>
      </c>
      <c r="J327" s="24" t="str">
        <f t="shared" si="13"/>
        <v>NtrAntaly326.PQTC.27.03.26</v>
      </c>
      <c r="L327" s="22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22" t="s">
        <v>13</v>
      </c>
      <c r="G328" s="8" t="s">
        <v>410</v>
      </c>
      <c r="H328" s="9" t="s">
        <v>395</v>
      </c>
      <c r="J328" s="24" t="str">
        <f t="shared" si="13"/>
        <v>NtrAntaly327.PQTC.27.03.26</v>
      </c>
      <c r="L328" s="22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22" t="s">
        <v>13</v>
      </c>
      <c r="G329" s="8" t="s">
        <v>410</v>
      </c>
      <c r="H329" s="9" t="s">
        <v>411</v>
      </c>
      <c r="J329" s="24" t="str">
        <f t="shared" si="13"/>
        <v>NtrAntaly328.PQTC.27.03.26</v>
      </c>
      <c r="L329" s="22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22" t="s">
        <v>13</v>
      </c>
      <c r="G330" s="8" t="s">
        <v>410</v>
      </c>
      <c r="H330" s="9" t="s">
        <v>412</v>
      </c>
      <c r="J330" s="24" t="str">
        <f t="shared" si="13"/>
        <v>NtrAntaly329.PQTC.27.03.26</v>
      </c>
      <c r="L330" s="22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22" t="s">
        <v>13</v>
      </c>
      <c r="G331" s="8" t="s">
        <v>410</v>
      </c>
      <c r="H331" s="9" t="s">
        <v>412</v>
      </c>
      <c r="J331" s="24" t="str">
        <f t="shared" si="13"/>
        <v>NtrAntaly330.PQTC.27.03.26</v>
      </c>
      <c r="L331" s="22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22" t="s">
        <v>13</v>
      </c>
      <c r="G332" s="8" t="s">
        <v>410</v>
      </c>
      <c r="H332" s="9" t="s">
        <v>413</v>
      </c>
      <c r="J332" s="24" t="str">
        <f t="shared" si="13"/>
        <v>NtrAntaly331.PQTC.27.03.26</v>
      </c>
      <c r="L332" s="22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22" t="s">
        <v>13</v>
      </c>
      <c r="G333" s="8" t="s">
        <v>410</v>
      </c>
      <c r="H333" s="9" t="s">
        <v>360</v>
      </c>
      <c r="J333" s="24" t="str">
        <f t="shared" si="13"/>
        <v>NtrAntaly332.PQTC.27.03.26</v>
      </c>
      <c r="L333" s="22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22" t="s">
        <v>13</v>
      </c>
      <c r="G334" s="8" t="s">
        <v>410</v>
      </c>
      <c r="H334" s="9" t="s">
        <v>414</v>
      </c>
      <c r="J334" s="24" t="str">
        <f t="shared" si="13"/>
        <v>NtrAntaly333.PQTC.27.03.26</v>
      </c>
      <c r="L334" s="22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22" t="s">
        <v>13</v>
      </c>
      <c r="G335" s="8" t="s">
        <v>410</v>
      </c>
      <c r="H335" s="9" t="s">
        <v>415</v>
      </c>
      <c r="J335" s="24" t="str">
        <f t="shared" si="13"/>
        <v>NtrAntaly334.PQTC.27.03.26</v>
      </c>
      <c r="L335" s="22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 t="shared" si="12"/>
        <v>335.</v>
      </c>
      <c r="F336" s="22" t="s">
        <v>13</v>
      </c>
      <c r="G336" s="8" t="s">
        <v>410</v>
      </c>
      <c r="H336" s="9" t="s">
        <v>416</v>
      </c>
      <c r="J336" s="24" t="str">
        <f t="shared" si="13"/>
        <v>NtrDontSt335.PQTC.27.03.26</v>
      </c>
      <c r="L336" s="22" t="str">
        <f t="shared" si="14"/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 t="shared" si="12"/>
        <v>336.</v>
      </c>
      <c r="F337" s="22" t="s">
        <v>13</v>
      </c>
      <c r="G337" s="8" t="s">
        <v>410</v>
      </c>
      <c r="H337" s="9" t="s">
        <v>417</v>
      </c>
      <c r="J337" s="24" t="str">
        <f t="shared" si="13"/>
        <v>NtrDontSt336.PQTC.27.03.26</v>
      </c>
      <c r="L337" s="22" t="str">
        <f t="shared" si="14"/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 t="shared" si="12"/>
        <v>337.</v>
      </c>
      <c r="F338" s="22" t="s">
        <v>13</v>
      </c>
      <c r="G338" s="8" t="s">
        <v>410</v>
      </c>
      <c r="H338" s="9" t="s">
        <v>418</v>
      </c>
      <c r="J338" s="24" t="str">
        <f t="shared" si="13"/>
        <v>NtrDontSt337.PQTC.27.03.26</v>
      </c>
      <c r="L338" s="22" t="str">
        <f t="shared" si="14"/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 t="shared" si="12"/>
        <v>338.</v>
      </c>
      <c r="F339" s="22" t="s">
        <v>13</v>
      </c>
      <c r="G339" s="8" t="s">
        <v>410</v>
      </c>
      <c r="H339" s="9" t="s">
        <v>419</v>
      </c>
      <c r="J339" s="24" t="str">
        <f t="shared" si="13"/>
        <v>NtrDontSt338.PQTC.27.03.26</v>
      </c>
      <c r="L339" s="22" t="str">
        <f t="shared" si="14"/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 t="shared" si="12"/>
        <v>339.</v>
      </c>
      <c r="F340" s="22" t="s">
        <v>13</v>
      </c>
      <c r="G340" s="8" t="s">
        <v>410</v>
      </c>
      <c r="H340" s="9" t="s">
        <v>420</v>
      </c>
      <c r="J340" s="24" t="str">
        <f t="shared" si="13"/>
        <v>NtrDontSt339.PQTC.27.03.26</v>
      </c>
      <c r="L340" s="22" t="str">
        <f t="shared" si="14"/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 t="shared" si="12"/>
        <v>340.</v>
      </c>
      <c r="F341" s="22" t="s">
        <v>13</v>
      </c>
      <c r="G341" s="8" t="s">
        <v>410</v>
      </c>
      <c r="H341" s="9" t="s">
        <v>421</v>
      </c>
      <c r="J341" s="24" t="str">
        <f t="shared" si="13"/>
        <v>NtrDontSt340.PQTC.27.03.26</v>
      </c>
      <c r="L341" s="22" t="str">
        <f t="shared" si="14"/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 t="shared" si="12"/>
        <v>341.</v>
      </c>
      <c r="F342" s="22" t="s">
        <v>13</v>
      </c>
      <c r="G342" s="8" t="s">
        <v>410</v>
      </c>
      <c r="H342" s="9" t="s">
        <v>422</v>
      </c>
      <c r="J342" s="24" t="str">
        <f t="shared" si="13"/>
        <v>NtrDontSt341.PQTC.27.03.26</v>
      </c>
      <c r="L342" s="22" t="str">
        <f t="shared" si="14"/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 t="shared" si="12"/>
        <v>342.</v>
      </c>
      <c r="F343" s="22" t="s">
        <v>13</v>
      </c>
      <c r="G343" s="8" t="s">
        <v>410</v>
      </c>
      <c r="H343" s="9" t="s">
        <v>423</v>
      </c>
      <c r="J343" s="24" t="str">
        <f t="shared" si="13"/>
        <v>NtrDontSt342.PQTC.27.03.26</v>
      </c>
      <c r="L343" s="22" t="str">
        <f t="shared" si="14"/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 t="shared" si="12"/>
        <v>343.</v>
      </c>
      <c r="F344" s="22" t="s">
        <v>13</v>
      </c>
      <c r="G344" s="8" t="s">
        <v>410</v>
      </c>
      <c r="H344" s="9" t="s">
        <v>424</v>
      </c>
      <c r="J344" s="24" t="str">
        <f t="shared" si="13"/>
        <v>NtrDontSt343.PQTC.27.03.26</v>
      </c>
      <c r="L344" s="22" t="str">
        <f t="shared" si="14"/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 t="shared" si="12"/>
        <v>344.</v>
      </c>
      <c r="F345" s="22" t="s">
        <v>13</v>
      </c>
      <c r="G345" s="8" t="s">
        <v>410</v>
      </c>
      <c r="H345" s="9" t="s">
        <v>425</v>
      </c>
      <c r="J345" s="24" t="str">
        <f t="shared" si="13"/>
        <v>NtrDontSt344.PQTC.27.03.26</v>
      </c>
      <c r="L345" s="22" t="str">
        <f t="shared" si="14"/>
        <v>344 NtrDontSt344.PQTC.27.03.26 Dont_Starve_Циклоп-олень</v>
      </c>
    </row>
    <row r="346" spans="1:12">
      <c r="A346" s="5">
        <v>345</v>
      </c>
      <c r="C346" s="6" t="s">
        <v>40</v>
      </c>
      <c r="D346" s="7" t="s">
        <v>426</v>
      </c>
      <c r="E346" s="6" t="str">
        <f t="shared" si="12"/>
        <v>345.</v>
      </c>
      <c r="F346" s="22" t="s">
        <v>13</v>
      </c>
      <c r="G346" s="8" t="s">
        <v>427</v>
      </c>
      <c r="H346" s="9" t="s">
        <v>428</v>
      </c>
      <c r="J346" s="24" t="str">
        <f t="shared" si="13"/>
        <v>CupICARUS345.PQTC.28.03.26</v>
      </c>
      <c r="L346" s="22" t="str">
        <f t="shared" si="14"/>
        <v>345 CupICARUS345.PQTC.28.03.26 ICARUS_Обложка_1</v>
      </c>
    </row>
    <row r="347" spans="1:12">
      <c r="A347" s="5">
        <v>346</v>
      </c>
      <c r="C347" s="6" t="s">
        <v>40</v>
      </c>
      <c r="D347" s="7" t="s">
        <v>426</v>
      </c>
      <c r="E347" s="6" t="str">
        <f t="shared" si="12"/>
        <v>346.</v>
      </c>
      <c r="F347" s="22" t="s">
        <v>13</v>
      </c>
      <c r="G347" s="8" t="s">
        <v>427</v>
      </c>
      <c r="H347" s="9" t="s">
        <v>429</v>
      </c>
      <c r="J347" s="24" t="str">
        <f t="shared" si="13"/>
        <v>CupICARUS346.PQTC.28.03.26</v>
      </c>
      <c r="L347" s="22" t="str">
        <f t="shared" si="14"/>
        <v>346 CupICARUS346.PQTC.28.03.26 ICARUS_Обложка_2</v>
      </c>
    </row>
    <row r="348" spans="1:12">
      <c r="A348" s="5">
        <v>347</v>
      </c>
      <c r="C348" s="6" t="s">
        <v>40</v>
      </c>
      <c r="D348" s="7" t="s">
        <v>426</v>
      </c>
      <c r="E348" s="6" t="str">
        <f t="shared" si="12"/>
        <v>347.</v>
      </c>
      <c r="F348" s="22" t="s">
        <v>13</v>
      </c>
      <c r="G348" s="8" t="s">
        <v>427</v>
      </c>
      <c r="H348" s="9" t="s">
        <v>430</v>
      </c>
      <c r="J348" s="24" t="str">
        <f t="shared" si="13"/>
        <v>CupICARUS347.PQTC.28.03.26</v>
      </c>
      <c r="L348" s="22" t="str">
        <f t="shared" si="14"/>
        <v>347 CupICARUS347.PQTC.28.03.26 ICARUS_Обложка_3</v>
      </c>
    </row>
    <row r="349" spans="1:12">
      <c r="A349" s="5">
        <v>348</v>
      </c>
      <c r="C349" s="6" t="s">
        <v>40</v>
      </c>
      <c r="D349" s="7" t="s">
        <v>426</v>
      </c>
      <c r="E349" s="6" t="str">
        <f t="shared" si="12"/>
        <v>348.</v>
      </c>
      <c r="F349" s="22" t="s">
        <v>13</v>
      </c>
      <c r="G349" s="8" t="s">
        <v>427</v>
      </c>
      <c r="H349" s="9" t="s">
        <v>431</v>
      </c>
      <c r="J349" s="24" t="str">
        <f t="shared" si="13"/>
        <v>CupICARUS348.PQTC.28.03.26</v>
      </c>
      <c r="L349" s="22" t="str">
        <f t="shared" si="14"/>
        <v>348 CupICARUS348.PQTC.28.03.26 ICARUS_Обложка_4</v>
      </c>
    </row>
    <row r="350" spans="1:12">
      <c r="A350" s="5">
        <v>349</v>
      </c>
      <c r="C350" s="6" t="s">
        <v>40</v>
      </c>
      <c r="D350" s="7" t="s">
        <v>426</v>
      </c>
      <c r="E350" s="6" t="str">
        <f t="shared" si="12"/>
        <v>349.</v>
      </c>
      <c r="F350" s="22" t="s">
        <v>13</v>
      </c>
      <c r="G350" s="8" t="s">
        <v>427</v>
      </c>
      <c r="H350" s="9" t="s">
        <v>432</v>
      </c>
      <c r="J350" s="24" t="str">
        <f t="shared" si="13"/>
        <v>CupICARUS349.PQTC.28.03.26</v>
      </c>
      <c r="L350" s="22" t="str">
        <f t="shared" si="14"/>
        <v>349 CupICARUS349.PQTC.28.03.26 ICARUS_Обложка_5</v>
      </c>
    </row>
    <row r="351" spans="1:12">
      <c r="A351" s="5">
        <v>350</v>
      </c>
      <c r="C351" s="6" t="s">
        <v>40</v>
      </c>
      <c r="D351" s="7" t="s">
        <v>426</v>
      </c>
      <c r="E351" s="6" t="str">
        <f t="shared" si="12"/>
        <v>350.</v>
      </c>
      <c r="F351" s="22" t="s">
        <v>13</v>
      </c>
      <c r="G351" s="8" t="s">
        <v>427</v>
      </c>
      <c r="H351" s="9" t="s">
        <v>433</v>
      </c>
      <c r="J351" s="24" t="str">
        <f t="shared" si="13"/>
        <v>CupICARUS350.PQTC.28.03.26</v>
      </c>
      <c r="L351" s="22" t="str">
        <f t="shared" si="14"/>
        <v>350 CupICARUS350.PQTC.28.03.26 ICARUS_Обложка_6</v>
      </c>
    </row>
    <row r="352" spans="1:12">
      <c r="A352" s="5">
        <v>351</v>
      </c>
      <c r="C352" s="6" t="s">
        <v>40</v>
      </c>
      <c r="D352" s="7" t="s">
        <v>426</v>
      </c>
      <c r="E352" s="6" t="str">
        <f t="shared" si="12"/>
        <v>351.</v>
      </c>
      <c r="F352" s="22" t="s">
        <v>13</v>
      </c>
      <c r="G352" s="8" t="s">
        <v>427</v>
      </c>
      <c r="H352" s="9" t="s">
        <v>434</v>
      </c>
      <c r="J352" s="24" t="str">
        <f t="shared" si="13"/>
        <v>CupICARUS351.PQTC.28.03.26</v>
      </c>
      <c r="L352" s="22" t="str">
        <f t="shared" si="14"/>
        <v>351 CupICARUS351.PQTC.28.03.26 ICARUS_Обложка_7</v>
      </c>
    </row>
    <row r="353" spans="1:12">
      <c r="A353" s="5">
        <v>352</v>
      </c>
      <c r="C353" s="6" t="s">
        <v>40</v>
      </c>
      <c r="D353" s="7" t="s">
        <v>426</v>
      </c>
      <c r="E353" s="6" t="str">
        <f t="shared" si="12"/>
        <v>352.</v>
      </c>
      <c r="F353" s="22" t="s">
        <v>13</v>
      </c>
      <c r="G353" s="8" t="s">
        <v>427</v>
      </c>
      <c r="H353" s="9" t="s">
        <v>435</v>
      </c>
      <c r="J353" s="24" t="str">
        <f t="shared" si="13"/>
        <v>CupICARUS352.PQTC.28.03.26</v>
      </c>
      <c r="L353" s="22" t="str">
        <f t="shared" si="14"/>
        <v>352 CupICARUS352.PQTC.28.03.26 ICARUS_Обложка_8</v>
      </c>
    </row>
    <row r="354" spans="1:12">
      <c r="A354" s="5">
        <v>353</v>
      </c>
      <c r="C354" s="6" t="s">
        <v>40</v>
      </c>
      <c r="D354" s="7" t="s">
        <v>426</v>
      </c>
      <c r="E354" s="6" t="str">
        <f t="shared" si="12"/>
        <v>353.</v>
      </c>
      <c r="F354" s="22" t="s">
        <v>13</v>
      </c>
      <c r="G354" s="8" t="s">
        <v>427</v>
      </c>
      <c r="H354" s="9" t="s">
        <v>436</v>
      </c>
      <c r="J354" s="24" t="str">
        <f t="shared" si="13"/>
        <v>CupICARUS353.PQTC.28.03.26</v>
      </c>
      <c r="L354" s="22" t="str">
        <f t="shared" si="14"/>
        <v>353 CupICARUS353.PQTC.28.03.26 ICARUS_Обложка_9</v>
      </c>
    </row>
    <row r="355" spans="1:12">
      <c r="A355" s="5">
        <v>354</v>
      </c>
      <c r="C355" s="6" t="s">
        <v>40</v>
      </c>
      <c r="D355" s="7" t="s">
        <v>426</v>
      </c>
      <c r="E355" s="6" t="str">
        <f t="shared" si="12"/>
        <v>354.</v>
      </c>
      <c r="F355" s="22" t="s">
        <v>13</v>
      </c>
      <c r="G355" s="8" t="s">
        <v>427</v>
      </c>
      <c r="H355" s="9" t="s">
        <v>437</v>
      </c>
      <c r="J355" s="24" t="str">
        <f t="shared" si="13"/>
        <v>CupICARUS354.PQTC.28.03.26</v>
      </c>
      <c r="L355" s="22" t="str">
        <f t="shared" si="14"/>
        <v>354 CupICARUS354.PQTC.28.03.26 ICARUS_Обложка_10</v>
      </c>
    </row>
    <row r="356" spans="1:12">
      <c r="A356" s="5">
        <v>355</v>
      </c>
      <c r="C356" s="6" t="s">
        <v>40</v>
      </c>
      <c r="D356" s="7" t="s">
        <v>426</v>
      </c>
      <c r="E356" s="6" t="str">
        <f t="shared" si="12"/>
        <v>355.</v>
      </c>
      <c r="F356" s="22" t="s">
        <v>13</v>
      </c>
      <c r="G356" s="8" t="s">
        <v>438</v>
      </c>
      <c r="H356" s="9" t="s">
        <v>439</v>
      </c>
      <c r="J356" s="24" t="str">
        <f t="shared" si="13"/>
        <v>CupICARUS355.PQTC.29.03.26</v>
      </c>
      <c r="L356" s="22" t="str">
        <f t="shared" si="14"/>
        <v>355 CupICARUS355.PQTC.29.03.26 ICARUS_Сердце</v>
      </c>
    </row>
    <row r="357" spans="1:12">
      <c r="A357" s="5">
        <v>356</v>
      </c>
      <c r="C357" s="6" t="s">
        <v>40</v>
      </c>
      <c r="D357" s="7" t="s">
        <v>426</v>
      </c>
      <c r="E357" s="6" t="str">
        <f t="shared" si="12"/>
        <v>356.</v>
      </c>
      <c r="F357" s="22" t="s">
        <v>13</v>
      </c>
      <c r="G357" s="8" t="s">
        <v>438</v>
      </c>
      <c r="H357" s="9" t="s">
        <v>440</v>
      </c>
      <c r="J357" s="24" t="str">
        <f t="shared" si="13"/>
        <v>CupICARUS356.PQTC.29.03.26</v>
      </c>
      <c r="L357" s="22" t="str">
        <f t="shared" si="14"/>
        <v>356 CupICARUS356.PQTC.29.03.26 ICARUS_Медведь</v>
      </c>
    </row>
    <row r="358" spans="1:12">
      <c r="A358" s="5">
        <v>357</v>
      </c>
      <c r="C358" s="6" t="s">
        <v>40</v>
      </c>
      <c r="D358" s="7" t="s">
        <v>426</v>
      </c>
      <c r="E358" s="6" t="str">
        <f t="shared" si="12"/>
        <v>357.</v>
      </c>
      <c r="F358" s="22" t="s">
        <v>13</v>
      </c>
      <c r="G358" s="8" t="s">
        <v>438</v>
      </c>
      <c r="H358" s="9" t="s">
        <v>441</v>
      </c>
      <c r="J358" s="24" t="str">
        <f t="shared" si="13"/>
        <v>CupICARUS357.PQTC.29.03.26</v>
      </c>
      <c r="L358" s="22" t="str">
        <f t="shared" si="14"/>
        <v>357 CupICARUS357.PQTC.29.03.26 ICARUS_Астронавты</v>
      </c>
    </row>
    <row r="359" spans="1:12">
      <c r="A359" s="5">
        <v>358</v>
      </c>
      <c r="C359" s="6" t="s">
        <v>40</v>
      </c>
      <c r="D359" s="7" t="s">
        <v>426</v>
      </c>
      <c r="E359" s="6" t="str">
        <f t="shared" si="12"/>
        <v>358.</v>
      </c>
      <c r="F359" s="22" t="s">
        <v>13</v>
      </c>
      <c r="G359" s="8" t="s">
        <v>438</v>
      </c>
      <c r="H359" s="9" t="s">
        <v>442</v>
      </c>
      <c r="J359" s="24" t="str">
        <f t="shared" si="13"/>
        <v>CupICARUS358.PQTC.29.03.26</v>
      </c>
      <c r="L359" s="22" t="str">
        <f t="shared" si="14"/>
        <v>358 CupICARUS358.PQTC.29.03.26 ICARUS_Оазис</v>
      </c>
    </row>
    <row r="360" spans="1:12">
      <c r="A360" s="5">
        <v>359</v>
      </c>
      <c r="C360" s="6" t="s">
        <v>40</v>
      </c>
      <c r="D360" s="7" t="s">
        <v>426</v>
      </c>
      <c r="E360" s="6" t="str">
        <f t="shared" si="12"/>
        <v>359.</v>
      </c>
      <c r="F360" s="22" t="s">
        <v>13</v>
      </c>
      <c r="G360" s="8" t="s">
        <v>438</v>
      </c>
      <c r="H360" s="9" t="s">
        <v>443</v>
      </c>
      <c r="J360" s="24" t="str">
        <f t="shared" si="13"/>
        <v>CupICARUS359.PQTC.29.03.26</v>
      </c>
      <c r="L360" s="22" t="str">
        <f t="shared" si="14"/>
        <v>359 CupICARUS359.PQTC.29.03.26 ICARUS_Пикник</v>
      </c>
    </row>
    <row r="361" spans="1:12">
      <c r="A361" s="5">
        <v>360</v>
      </c>
      <c r="C361" s="6" t="s">
        <v>40</v>
      </c>
      <c r="D361" s="7" t="s">
        <v>426</v>
      </c>
      <c r="E361" s="6" t="str">
        <f t="shared" si="12"/>
        <v>360.</v>
      </c>
      <c r="F361" s="22" t="s">
        <v>13</v>
      </c>
      <c r="G361" s="8" t="s">
        <v>438</v>
      </c>
      <c r="H361" s="9" t="s">
        <v>444</v>
      </c>
      <c r="J361" s="24" t="str">
        <f t="shared" si="13"/>
        <v>CupICARUS360.PQTC.29.03.26</v>
      </c>
      <c r="L361" s="22" t="str">
        <f t="shared" si="14"/>
        <v>360 CupICARUS360.PQTC.29.03.26 ICARUS_Верстак</v>
      </c>
    </row>
    <row r="362" spans="1:12">
      <c r="A362" s="5">
        <v>361</v>
      </c>
      <c r="C362" s="6" t="s">
        <v>40</v>
      </c>
      <c r="D362" s="7" t="s">
        <v>426</v>
      </c>
      <c r="E362" s="6" t="str">
        <f t="shared" si="12"/>
        <v>361.</v>
      </c>
      <c r="F362" s="22" t="s">
        <v>13</v>
      </c>
      <c r="G362" s="8" t="s">
        <v>438</v>
      </c>
      <c r="H362" s="9" t="s">
        <v>445</v>
      </c>
      <c r="J362" s="24" t="str">
        <f t="shared" si="13"/>
        <v>CupICARUS361.PQTC.29.03.26</v>
      </c>
      <c r="L362" s="22" t="str">
        <f t="shared" si="14"/>
        <v>361 CupICARUS361.PQTC.29.03.26 ICARUS_Грибы</v>
      </c>
    </row>
    <row r="363" spans="1:12">
      <c r="A363" s="5">
        <v>362</v>
      </c>
      <c r="C363" s="6" t="s">
        <v>40</v>
      </c>
      <c r="D363" s="7" t="s">
        <v>426</v>
      </c>
      <c r="E363" s="6" t="str">
        <f t="shared" si="12"/>
        <v>362.</v>
      </c>
      <c r="F363" s="22" t="s">
        <v>13</v>
      </c>
      <c r="G363" s="8" t="s">
        <v>438</v>
      </c>
      <c r="H363" s="9" t="s">
        <v>446</v>
      </c>
      <c r="J363" s="24" t="str">
        <f t="shared" si="13"/>
        <v>CupICARUS362.PQTC.29.03.26</v>
      </c>
      <c r="L363" s="22" t="str">
        <f t="shared" si="14"/>
        <v>362 CupICARUS362.PQTC.29.03.26 ICARUS_Равнины</v>
      </c>
    </row>
    <row r="364" spans="1:12">
      <c r="A364" s="5">
        <v>363</v>
      </c>
      <c r="C364" s="6" t="s">
        <v>40</v>
      </c>
      <c r="D364" s="7" t="s">
        <v>426</v>
      </c>
      <c r="E364" s="6" t="str">
        <f t="shared" si="12"/>
        <v>363.</v>
      </c>
      <c r="F364" s="22" t="s">
        <v>13</v>
      </c>
      <c r="G364" s="8" t="s">
        <v>438</v>
      </c>
      <c r="H364" s="9" t="s">
        <v>447</v>
      </c>
      <c r="J364" s="24" t="str">
        <f t="shared" si="13"/>
        <v>CupICARUS363.PQTC.29.03.26</v>
      </c>
      <c r="L364" s="22" t="str">
        <f t="shared" si="14"/>
        <v>363 CupICARUS363.PQTC.29.03.26 ICARUS_Лава</v>
      </c>
    </row>
    <row r="365" spans="1:12">
      <c r="A365" s="5">
        <v>364</v>
      </c>
      <c r="C365" s="6" t="s">
        <v>40</v>
      </c>
      <c r="D365" s="7" t="s">
        <v>426</v>
      </c>
      <c r="E365" s="6" t="str">
        <f t="shared" si="12"/>
        <v>364.</v>
      </c>
      <c r="F365" s="22" t="s">
        <v>13</v>
      </c>
      <c r="G365" s="8" t="s">
        <v>438</v>
      </c>
      <c r="H365" s="9" t="s">
        <v>448</v>
      </c>
      <c r="J365" s="24" t="str">
        <f t="shared" si="13"/>
        <v>CupICARUS364.PQTC.29.03.26</v>
      </c>
      <c r="L365" s="22" t="str">
        <f t="shared" si="14"/>
        <v>364 CupICARUS364.PQTC.29.03.26 ICARUS_Лес</v>
      </c>
    </row>
    <row r="366" spans="1:12">
      <c r="A366" s="5">
        <v>365</v>
      </c>
      <c r="C366" s="6" t="s">
        <v>40</v>
      </c>
      <c r="D366" s="7" t="s">
        <v>426</v>
      </c>
      <c r="E366" s="6" t="str">
        <f t="shared" si="12"/>
        <v>365.</v>
      </c>
      <c r="F366" s="22" t="s">
        <v>13</v>
      </c>
      <c r="G366" s="8" t="s">
        <v>438</v>
      </c>
      <c r="H366" s="9" t="s">
        <v>449</v>
      </c>
      <c r="J366" s="24" t="str">
        <f t="shared" si="13"/>
        <v>CupICARUS365.PQTC.29.03.26</v>
      </c>
      <c r="L366" s="22" t="str">
        <f t="shared" si="14"/>
        <v>365 CupICARUS365.PQTC.29.03.26 ICARUS_Фауна</v>
      </c>
    </row>
    <row r="367" spans="1:12">
      <c r="A367" s="5">
        <v>366</v>
      </c>
      <c r="C367" s="6" t="s">
        <v>40</v>
      </c>
      <c r="D367" s="7" t="s">
        <v>426</v>
      </c>
      <c r="E367" s="6" t="str">
        <f t="shared" si="12"/>
        <v>366.</v>
      </c>
      <c r="F367" s="22" t="s">
        <v>13</v>
      </c>
      <c r="G367" s="8" t="s">
        <v>438</v>
      </c>
      <c r="H367" s="9" t="s">
        <v>450</v>
      </c>
      <c r="J367" s="24" t="str">
        <f t="shared" si="13"/>
        <v>CupICARUS366.PQTC.29.03.26</v>
      </c>
      <c r="L367" s="22" t="str">
        <f t="shared" si="14"/>
        <v>366 CupICARUS366.PQTC.29.03.26 ICARUS_Горы</v>
      </c>
    </row>
    <row r="368" spans="1:12">
      <c r="A368" s="5">
        <v>367</v>
      </c>
      <c r="C368" s="6" t="s">
        <v>10</v>
      </c>
      <c r="D368" s="7" t="s">
        <v>426</v>
      </c>
      <c r="E368" s="6" t="str">
        <f t="shared" si="12"/>
        <v>367.</v>
      </c>
      <c r="F368" s="22" t="s">
        <v>13</v>
      </c>
      <c r="G368" s="8" t="s">
        <v>451</v>
      </c>
      <c r="H368" s="25" t="s">
        <v>439</v>
      </c>
      <c r="J368" s="24" t="str">
        <f t="shared" si="13"/>
        <v>NtrICARUS367.PQTC.30.03.26</v>
      </c>
      <c r="L368" s="22" t="str">
        <f t="shared" si="14"/>
        <v>367 NtrICARUS367.PQTC.30.03.26 ICARUS_Сердце</v>
      </c>
    </row>
    <row r="369" spans="1:12">
      <c r="A369" s="5">
        <v>368</v>
      </c>
      <c r="C369" s="6" t="s">
        <v>10</v>
      </c>
      <c r="D369" s="7" t="s">
        <v>426</v>
      </c>
      <c r="E369" s="6" t="str">
        <f t="shared" si="12"/>
        <v>368.</v>
      </c>
      <c r="F369" s="22" t="s">
        <v>13</v>
      </c>
      <c r="G369" s="8" t="s">
        <v>451</v>
      </c>
      <c r="H369" s="25" t="s">
        <v>440</v>
      </c>
      <c r="J369" s="24" t="str">
        <f t="shared" si="13"/>
        <v>NtrICARUS368.PQTC.30.03.26</v>
      </c>
      <c r="L369" s="22" t="str">
        <f t="shared" si="14"/>
        <v>368 NtrICARUS368.PQTC.30.03.26 ICARUS_Медведь</v>
      </c>
    </row>
    <row r="370" spans="1:12">
      <c r="A370" s="5">
        <v>369</v>
      </c>
      <c r="C370" s="6" t="s">
        <v>10</v>
      </c>
      <c r="D370" s="7" t="s">
        <v>426</v>
      </c>
      <c r="E370" s="6" t="str">
        <f t="shared" si="12"/>
        <v>369.</v>
      </c>
      <c r="F370" s="22" t="s">
        <v>13</v>
      </c>
      <c r="G370" s="8" t="s">
        <v>451</v>
      </c>
      <c r="H370" s="25" t="s">
        <v>441</v>
      </c>
      <c r="J370" s="24" t="str">
        <f t="shared" si="13"/>
        <v>NtrICARUS369.PQTC.30.03.26</v>
      </c>
      <c r="L370" s="22" t="str">
        <f t="shared" si="14"/>
        <v>369 NtrICARUS369.PQTC.30.03.26 ICARUS_Астронавты</v>
      </c>
    </row>
    <row r="371" spans="1:12">
      <c r="A371" s="5">
        <v>370</v>
      </c>
      <c r="C371" s="6" t="s">
        <v>10</v>
      </c>
      <c r="D371" s="7" t="s">
        <v>426</v>
      </c>
      <c r="E371" s="6" t="str">
        <f t="shared" si="12"/>
        <v>370.</v>
      </c>
      <c r="F371" s="22" t="s">
        <v>13</v>
      </c>
      <c r="G371" s="8" t="s">
        <v>451</v>
      </c>
      <c r="H371" s="25" t="s">
        <v>452</v>
      </c>
      <c r="J371" s="24" t="str">
        <f t="shared" si="13"/>
        <v>NtrICARUS370.PQTC.30.03.26</v>
      </c>
      <c r="L371" s="22" t="str">
        <f t="shared" si="14"/>
        <v>370 NtrICARUS370.PQTC.30.03.26 ICARUS_Лагерь</v>
      </c>
    </row>
    <row r="372" spans="1:12">
      <c r="A372" s="5">
        <v>371</v>
      </c>
      <c r="C372" s="6" t="s">
        <v>10</v>
      </c>
      <c r="D372" s="7" t="s">
        <v>426</v>
      </c>
      <c r="E372" s="6" t="str">
        <f t="shared" si="12"/>
        <v>371.</v>
      </c>
      <c r="F372" s="22" t="s">
        <v>13</v>
      </c>
      <c r="G372" s="8" t="s">
        <v>451</v>
      </c>
      <c r="H372" s="23" t="s">
        <v>444</v>
      </c>
      <c r="J372" s="24" t="str">
        <f t="shared" si="13"/>
        <v>NtrICARUS371.PQTC.30.03.26</v>
      </c>
      <c r="L372" s="22" t="str">
        <f t="shared" si="14"/>
        <v>371 NtrICARUS371.PQTC.30.03.26 ICARUS_Верстак</v>
      </c>
    </row>
    <row r="373" spans="1:12">
      <c r="A373" s="5">
        <v>372</v>
      </c>
      <c r="C373" s="6" t="s">
        <v>10</v>
      </c>
      <c r="D373" s="7" t="s">
        <v>426</v>
      </c>
      <c r="E373" s="6" t="str">
        <f t="shared" si="12"/>
        <v>372.</v>
      </c>
      <c r="F373" s="22" t="s">
        <v>13</v>
      </c>
      <c r="G373" s="8" t="s">
        <v>451</v>
      </c>
      <c r="H373" s="23" t="s">
        <v>453</v>
      </c>
      <c r="J373" s="24" t="str">
        <f t="shared" si="13"/>
        <v>NtrICARUS372.PQTC.30.03.26</v>
      </c>
      <c r="L373" s="22" t="str">
        <f t="shared" si="14"/>
        <v>372 NtrICARUS372.PQTC.30.03.26 ICARUS_Космос</v>
      </c>
    </row>
    <row r="374" spans="1:12">
      <c r="A374" s="5">
        <v>373</v>
      </c>
      <c r="C374" s="6" t="s">
        <v>10</v>
      </c>
      <c r="D374" s="7" t="s">
        <v>426</v>
      </c>
      <c r="E374" s="6" t="str">
        <f t="shared" si="12"/>
        <v>373.</v>
      </c>
      <c r="F374" s="22" t="s">
        <v>13</v>
      </c>
      <c r="G374" s="8" t="s">
        <v>451</v>
      </c>
      <c r="H374" s="23" t="s">
        <v>454</v>
      </c>
      <c r="J374" s="24" t="str">
        <f t="shared" si="13"/>
        <v>NtrICARUS373.PQTC.30.03.26</v>
      </c>
      <c r="L374" s="22" t="str">
        <f t="shared" si="14"/>
        <v>373 NtrICARUS373.PQTC.30.03.26 ICARUS_Олень</v>
      </c>
    </row>
    <row r="375" spans="1:12">
      <c r="A375" s="5">
        <v>374</v>
      </c>
      <c r="C375" s="6" t="s">
        <v>10</v>
      </c>
      <c r="D375" s="7" t="s">
        <v>426</v>
      </c>
      <c r="E375" s="6" t="str">
        <f t="shared" si="12"/>
        <v>374.</v>
      </c>
      <c r="F375" s="22" t="s">
        <v>13</v>
      </c>
      <c r="G375" s="8" t="s">
        <v>451</v>
      </c>
      <c r="H375" s="23" t="s">
        <v>445</v>
      </c>
      <c r="J375" s="24" t="str">
        <f t="shared" si="13"/>
        <v>NtrICARUS374.PQTC.30.03.26</v>
      </c>
      <c r="L375" s="22" t="str">
        <f t="shared" si="14"/>
        <v>374 NtrICARUS374.PQTC.30.03.26 ICARUS_Грибы</v>
      </c>
    </row>
    <row r="376" spans="1:12">
      <c r="A376" s="5">
        <v>375</v>
      </c>
      <c r="C376" s="6" t="s">
        <v>10</v>
      </c>
      <c r="D376" s="7" t="s">
        <v>426</v>
      </c>
      <c r="E376" s="6" t="str">
        <f t="shared" si="12"/>
        <v>375.</v>
      </c>
      <c r="F376" s="22" t="s">
        <v>13</v>
      </c>
      <c r="G376" s="8" t="s">
        <v>451</v>
      </c>
      <c r="H376" s="23" t="s">
        <v>442</v>
      </c>
      <c r="J376" s="24" t="str">
        <f t="shared" si="13"/>
        <v>NtrICARUS375.PQTC.30.03.26</v>
      </c>
      <c r="L376" s="22" t="str">
        <f t="shared" si="14"/>
        <v>375 NtrICARUS375.PQTC.30.03.26 ICARUS_Оазис</v>
      </c>
    </row>
    <row r="377" spans="1:12">
      <c r="A377" s="5">
        <v>376</v>
      </c>
      <c r="C377" s="6" t="s">
        <v>10</v>
      </c>
      <c r="D377" s="7" t="s">
        <v>426</v>
      </c>
      <c r="E377" s="6" t="str">
        <f t="shared" si="12"/>
        <v>376.</v>
      </c>
      <c r="F377" s="22" t="s">
        <v>13</v>
      </c>
      <c r="G377" s="8" t="s">
        <v>451</v>
      </c>
      <c r="H377" s="23" t="s">
        <v>455</v>
      </c>
      <c r="J377" s="24" t="str">
        <f t="shared" si="13"/>
        <v>NtrICARUS376.PQTC.30.03.26</v>
      </c>
      <c r="L377" s="22" t="str">
        <f t="shared" si="14"/>
        <v>376 NtrICARUS376.PQTC.30.03.26 ICARUS_Луга</v>
      </c>
    </row>
    <row r="378" spans="1:12">
      <c r="A378" s="5">
        <v>377</v>
      </c>
      <c r="C378" s="6" t="s">
        <v>246</v>
      </c>
      <c r="D378" s="7" t="s">
        <v>426</v>
      </c>
      <c r="E378" s="6" t="str">
        <f t="shared" si="12"/>
        <v>377.</v>
      </c>
      <c r="F378" s="22" t="s">
        <v>13</v>
      </c>
      <c r="G378" s="8" t="s">
        <v>456</v>
      </c>
      <c r="H378" s="27" t="s">
        <v>454</v>
      </c>
      <c r="J378" s="24" t="str">
        <f t="shared" si="13"/>
        <v>OpsICARUS377.PQTC.31.03.26</v>
      </c>
      <c r="L378" s="22" t="str">
        <f t="shared" si="14"/>
        <v>377 OpsICARUS377.PQTC.31.03.26 ICARUS_Олень</v>
      </c>
    </row>
    <row r="379" spans="1:12">
      <c r="A379" s="5">
        <v>378</v>
      </c>
      <c r="C379" s="6" t="s">
        <v>246</v>
      </c>
      <c r="D379" s="7" t="s">
        <v>426</v>
      </c>
      <c r="E379" s="6" t="str">
        <f t="shared" si="12"/>
        <v>378.</v>
      </c>
      <c r="F379" s="22" t="s">
        <v>13</v>
      </c>
      <c r="G379" s="8" t="s">
        <v>456</v>
      </c>
      <c r="H379" s="27" t="s">
        <v>457</v>
      </c>
      <c r="J379" s="24" t="str">
        <f t="shared" si="13"/>
        <v>OpsICARUS378.PQTC.31.03.26</v>
      </c>
      <c r="L379" s="22" t="str">
        <f t="shared" si="14"/>
        <v>378 OpsICARUS378.PQTC.31.03.26 ICARUS_Метель</v>
      </c>
    </row>
    <row r="380" spans="1:12">
      <c r="A380" s="5">
        <v>379</v>
      </c>
      <c r="C380" s="6" t="s">
        <v>246</v>
      </c>
      <c r="D380" s="7" t="s">
        <v>426</v>
      </c>
      <c r="E380" s="6" t="str">
        <f t="shared" ref="E380:E387" si="15">A380&amp;"."</f>
        <v>379.</v>
      </c>
      <c r="F380" s="22" t="s">
        <v>13</v>
      </c>
      <c r="G380" s="8" t="s">
        <v>456</v>
      </c>
      <c r="H380" s="27" t="s">
        <v>458</v>
      </c>
      <c r="J380" s="24" t="str">
        <f t="shared" si="13"/>
        <v>OpsICARUS379.PQTC.31.03.26</v>
      </c>
      <c r="L380" s="22" t="str">
        <f t="shared" si="14"/>
        <v>379 OpsICARUS379.PQTC.31.03.26 ICARUS_Астронавт</v>
      </c>
    </row>
    <row r="381" spans="1:12">
      <c r="A381" s="5">
        <v>380</v>
      </c>
      <c r="C381" s="6" t="s">
        <v>246</v>
      </c>
      <c r="D381" s="7" t="s">
        <v>426</v>
      </c>
      <c r="E381" s="6" t="str">
        <f t="shared" si="15"/>
        <v>380.</v>
      </c>
      <c r="F381" s="22" t="s">
        <v>13</v>
      </c>
      <c r="G381" s="8" t="s">
        <v>456</v>
      </c>
      <c r="H381" s="27" t="s">
        <v>459</v>
      </c>
      <c r="J381" s="24" t="str">
        <f t="shared" si="13"/>
        <v>OpsICARUS380.PQTC.31.03.26</v>
      </c>
      <c r="L381" s="22" t="str">
        <f t="shared" si="14"/>
        <v>380 OpsICARUS380.PQTC.31.03.26 ICARUS_Медведи</v>
      </c>
    </row>
    <row r="382" spans="1:12">
      <c r="A382" s="5">
        <v>381</v>
      </c>
      <c r="C382" s="6" t="s">
        <v>246</v>
      </c>
      <c r="D382" s="7" t="s">
        <v>426</v>
      </c>
      <c r="E382" s="6" t="str">
        <f t="shared" si="15"/>
        <v>381.</v>
      </c>
      <c r="F382" s="22" t="s">
        <v>13</v>
      </c>
      <c r="G382" s="8" t="s">
        <v>456</v>
      </c>
      <c r="H382" s="27" t="s">
        <v>452</v>
      </c>
      <c r="J382" s="24" t="str">
        <f t="shared" si="13"/>
        <v>OpsICARUS381.PQTC.31.03.26</v>
      </c>
      <c r="L382" s="22" t="str">
        <f t="shared" si="14"/>
        <v>381 OpsICARUS381.PQTC.31.03.26 ICARUS_Лагерь</v>
      </c>
    </row>
    <row r="383" spans="1:12">
      <c r="A383" s="5">
        <v>382</v>
      </c>
      <c r="C383" s="6" t="s">
        <v>246</v>
      </c>
      <c r="D383" s="7" t="s">
        <v>426</v>
      </c>
      <c r="E383" s="6" t="str">
        <f t="shared" si="15"/>
        <v>382.</v>
      </c>
      <c r="F383" s="22" t="s">
        <v>13</v>
      </c>
      <c r="G383" s="8" t="s">
        <v>456</v>
      </c>
      <c r="H383" s="27" t="s">
        <v>445</v>
      </c>
      <c r="J383" s="24" t="str">
        <f t="shared" si="13"/>
        <v>OpsICARUS382.PQTC.31.03.26</v>
      </c>
      <c r="L383" s="22" t="str">
        <f t="shared" si="14"/>
        <v>382 OpsICARUS382.PQTC.31.03.26 ICARUS_Грибы</v>
      </c>
    </row>
    <row r="384" spans="1:12">
      <c r="A384" s="5">
        <v>383</v>
      </c>
      <c r="C384" s="6" t="s">
        <v>246</v>
      </c>
      <c r="D384" s="7" t="s">
        <v>426</v>
      </c>
      <c r="E384" s="6" t="str">
        <f t="shared" si="15"/>
        <v>383.</v>
      </c>
      <c r="F384" s="22" t="s">
        <v>13</v>
      </c>
      <c r="G384" s="8" t="s">
        <v>456</v>
      </c>
      <c r="H384" s="27" t="s">
        <v>444</v>
      </c>
      <c r="J384" s="24" t="str">
        <f t="shared" si="13"/>
        <v>OpsICARUS383.PQTC.31.03.26</v>
      </c>
      <c r="L384" s="22" t="str">
        <f t="shared" si="14"/>
        <v>383 OpsICARUS383.PQTC.31.03.26 ICARUS_Верстак</v>
      </c>
    </row>
    <row r="385" spans="1:12">
      <c r="A385" s="5">
        <v>384</v>
      </c>
      <c r="C385" s="6" t="s">
        <v>246</v>
      </c>
      <c r="D385" s="7" t="s">
        <v>426</v>
      </c>
      <c r="E385" s="6" t="str">
        <f t="shared" si="15"/>
        <v>384.</v>
      </c>
      <c r="F385" s="22" t="s">
        <v>13</v>
      </c>
      <c r="G385" s="8" t="s">
        <v>456</v>
      </c>
      <c r="H385" s="27" t="s">
        <v>460</v>
      </c>
      <c r="J385" s="24" t="str">
        <f t="shared" si="13"/>
        <v>OpsICARUS384.PQTC.31.03.26</v>
      </c>
      <c r="L385" s="22" t="str">
        <f t="shared" si="14"/>
        <v>384 OpsICARUS384.PQTC.31.03.26 ICARUS_Выстрел</v>
      </c>
    </row>
    <row r="386" spans="1:12">
      <c r="A386" s="5">
        <v>385</v>
      </c>
      <c r="C386" s="6" t="s">
        <v>246</v>
      </c>
      <c r="D386" s="7" t="s">
        <v>426</v>
      </c>
      <c r="E386" s="6" t="str">
        <f t="shared" si="15"/>
        <v>385.</v>
      </c>
      <c r="F386" s="22" t="s">
        <v>13</v>
      </c>
      <c r="G386" s="8" t="s">
        <v>456</v>
      </c>
      <c r="H386" s="27" t="s">
        <v>461</v>
      </c>
      <c r="J386" s="24" t="str">
        <f>C386&amp;D386&amp;E386&amp;F386&amp;G386</f>
        <v>OpsICARUS385.PQTC.31.03.26</v>
      </c>
      <c r="L386" s="22" t="str">
        <f>A386&amp;" "&amp;C386&amp;D386&amp;E386&amp;F386&amp;G386&amp;" "&amp;H386</f>
        <v>385 OpsICARUS385.PQTC.31.03.26 ICARUS_Пещера</v>
      </c>
    </row>
    <row r="387" spans="1:12">
      <c r="A387" s="5">
        <v>386</v>
      </c>
      <c r="C387" s="6" t="s">
        <v>246</v>
      </c>
      <c r="D387" s="7" t="s">
        <v>426</v>
      </c>
      <c r="E387" s="6" t="str">
        <f t="shared" si="15"/>
        <v>386.</v>
      </c>
      <c r="F387" s="22" t="s">
        <v>13</v>
      </c>
      <c r="G387" s="8" t="s">
        <v>456</v>
      </c>
      <c r="H387" s="27" t="s">
        <v>462</v>
      </c>
      <c r="J387" s="24" t="str">
        <f>C387&amp;D387&amp;E387&amp;F387&amp;G387</f>
        <v>OpsICARUS386.PQTC.31.03.26</v>
      </c>
      <c r="L387" s="22" t="str">
        <f>A387&amp;" "&amp;C387&amp;D387&amp;E387&amp;F387&amp;G387&amp;" "&amp;H387</f>
        <v>386 OpsICARUS386.PQTC.31.03.26 ICARUS_Водопад</v>
      </c>
    </row>
    <row r="388" spans="1:12">
      <c r="A388" s="5">
        <v>387</v>
      </c>
      <c r="C388" s="6" t="s">
        <v>463</v>
      </c>
      <c r="D388" s="7" t="s">
        <v>426</v>
      </c>
      <c r="E388" s="6" t="str">
        <f>A388&amp;"."</f>
        <v>387.</v>
      </c>
      <c r="F388" s="22" t="s">
        <v>13</v>
      </c>
      <c r="G388" s="8" t="s">
        <v>464</v>
      </c>
      <c r="H388" s="27" t="s">
        <v>457</v>
      </c>
      <c r="J388" s="24" t="str">
        <f>C388&amp;D388&amp;E388&amp;F388&amp;G388</f>
        <v>OskICARUS387.PQTC.01.04.26</v>
      </c>
      <c r="L388" s="22" t="str">
        <f>A388&amp;" "&amp;C388&amp;D388&amp;E388&amp;F388&amp;G388&amp;" "&amp;H388</f>
        <v>387 OskICARUS387.PQTC.01.04.26 ICARUS_Метель</v>
      </c>
    </row>
    <row r="389" spans="1:12">
      <c r="A389" s="5">
        <v>388</v>
      </c>
      <c r="C389" s="6" t="s">
        <v>463</v>
      </c>
      <c r="D389" s="7" t="s">
        <v>426</v>
      </c>
      <c r="E389" s="6" t="str">
        <f>A389&amp;"."</f>
        <v>388.</v>
      </c>
      <c r="F389" s="22" t="s">
        <v>13</v>
      </c>
      <c r="G389" s="8" t="s">
        <v>464</v>
      </c>
      <c r="H389" s="27" t="s">
        <v>459</v>
      </c>
      <c r="J389" s="24" t="str">
        <f>C389&amp;D389&amp;E389&amp;F389&amp;G389</f>
        <v>OskICARUS388.PQTC.01.04.26</v>
      </c>
      <c r="L389" s="22" t="str">
        <f>A389&amp;" "&amp;C389&amp;D389&amp;E389&amp;F389&amp;G389&amp;" "&amp;H389</f>
        <v>388 OskICARUS388.PQTC.01.04.26 ICARUS_Медведи</v>
      </c>
    </row>
    <row r="390" spans="1:12">
      <c r="A390" s="5">
        <v>389</v>
      </c>
      <c r="C390" s="6" t="s">
        <v>463</v>
      </c>
      <c r="D390" s="7" t="s">
        <v>426</v>
      </c>
      <c r="E390" s="6" t="str">
        <f>A390&amp;"."</f>
        <v>389.</v>
      </c>
      <c r="F390" s="22" t="s">
        <v>13</v>
      </c>
      <c r="G390" s="8" t="s">
        <v>464</v>
      </c>
      <c r="H390" s="27" t="s">
        <v>454</v>
      </c>
      <c r="J390" s="24" t="str">
        <f>C390&amp;D390&amp;E390&amp;F390&amp;G390</f>
        <v>OskICARUS389.PQTC.01.04.26</v>
      </c>
      <c r="L390" s="22" t="str">
        <f>A390&amp;" "&amp;C390&amp;D390&amp;E390&amp;F390&amp;G390&amp;" "&amp;H390</f>
        <v>389 OskICARUS389.PQTC.01.04.26 ICARUS_Олень</v>
      </c>
    </row>
    <row r="391" spans="1:12">
      <c r="A391" s="5">
        <v>390</v>
      </c>
      <c r="C391" s="6" t="s">
        <v>463</v>
      </c>
      <c r="D391" s="7" t="s">
        <v>426</v>
      </c>
      <c r="E391" s="6" t="str">
        <f>A391&amp;"."</f>
        <v>390.</v>
      </c>
      <c r="F391" s="22" t="s">
        <v>13</v>
      </c>
      <c r="G391" s="8" t="s">
        <v>464</v>
      </c>
      <c r="H391" s="27" t="s">
        <v>442</v>
      </c>
      <c r="J391" s="24" t="str">
        <f>C391&amp;D391&amp;E391&amp;F391&amp;G391</f>
        <v>OskICARUS390.PQTC.01.04.26</v>
      </c>
      <c r="L391" s="22" t="str">
        <f>A391&amp;" "&amp;C391&amp;D391&amp;E391&amp;F391&amp;G391&amp;" "&amp;H391</f>
        <v>390 OskICARUS390.PQTC.01.04.26 ICARUS_Оазис</v>
      </c>
    </row>
    <row r="392" spans="1:12">
      <c r="A392" s="5">
        <v>391</v>
      </c>
      <c r="C392" s="6" t="s">
        <v>463</v>
      </c>
      <c r="D392" s="7" t="s">
        <v>426</v>
      </c>
      <c r="E392" s="6" t="str">
        <f>A392&amp;"."</f>
        <v>391.</v>
      </c>
      <c r="F392" s="22" t="s">
        <v>13</v>
      </c>
      <c r="G392" s="8" t="s">
        <v>464</v>
      </c>
      <c r="H392" s="27" t="s">
        <v>439</v>
      </c>
      <c r="J392" s="24" t="str">
        <f>C392&amp;D392&amp;E392&amp;F392&amp;G392</f>
        <v>OskICARUS391.PQTC.01.04.26</v>
      </c>
      <c r="L392" s="22" t="str">
        <f>A392&amp;" "&amp;C392&amp;D392&amp;E392&amp;F392&amp;G392&amp;" "&amp;H392</f>
        <v>391 OskICARUS391.PQTC.01.04.26 ICARUS_Сердце</v>
      </c>
    </row>
    <row r="393" spans="1:12">
      <c r="A393" s="5">
        <v>392</v>
      </c>
      <c r="C393" s="6" t="s">
        <v>463</v>
      </c>
      <c r="D393" s="7" t="s">
        <v>426</v>
      </c>
      <c r="E393" s="6" t="str">
        <f>A393&amp;"."</f>
        <v>392.</v>
      </c>
      <c r="F393" s="22" t="s">
        <v>13</v>
      </c>
      <c r="G393" s="8" t="s">
        <v>464</v>
      </c>
      <c r="H393" s="27" t="s">
        <v>460</v>
      </c>
      <c r="J393" s="24" t="str">
        <f>C393&amp;D393&amp;E393&amp;F393&amp;G393</f>
        <v>OskICARUS392.PQTC.01.04.26</v>
      </c>
      <c r="L393" s="22" t="str">
        <f>A393&amp;" "&amp;C393&amp;D393&amp;E393&amp;F393&amp;G393&amp;" "&amp;H393</f>
        <v>392 OskICARUS392.PQTC.01.04.26 ICARUS_Выстрел</v>
      </c>
    </row>
    <row r="394" spans="1:12">
      <c r="A394" s="5">
        <v>393</v>
      </c>
      <c r="C394" s="6" t="s">
        <v>463</v>
      </c>
      <c r="D394" s="7" t="s">
        <v>426</v>
      </c>
      <c r="E394" s="6" t="str">
        <f>A394&amp;"."</f>
        <v>393.</v>
      </c>
      <c r="F394" s="22" t="s">
        <v>13</v>
      </c>
      <c r="G394" s="8" t="s">
        <v>464</v>
      </c>
      <c r="H394" s="27" t="s">
        <v>445</v>
      </c>
      <c r="J394" s="24" t="str">
        <f>C394&amp;D394&amp;E394&amp;F394&amp;G394</f>
        <v>OskICARUS393.PQTC.01.04.26</v>
      </c>
      <c r="L394" s="22" t="str">
        <f>A394&amp;" "&amp;C394&amp;D394&amp;E394&amp;F394&amp;G394&amp;" "&amp;H394</f>
        <v>393 OskICARUS393.PQTC.01.04.26 ICARUS_Грибы</v>
      </c>
    </row>
    <row r="395" spans="1:12">
      <c r="A395" s="5">
        <v>394</v>
      </c>
      <c r="C395" s="6" t="s">
        <v>463</v>
      </c>
      <c r="D395" s="7" t="s">
        <v>426</v>
      </c>
      <c r="E395" s="6" t="str">
        <f>A395&amp;"."</f>
        <v>394.</v>
      </c>
      <c r="F395" s="22" t="s">
        <v>13</v>
      </c>
      <c r="G395" s="8" t="s">
        <v>464</v>
      </c>
      <c r="H395" s="27" t="s">
        <v>452</v>
      </c>
      <c r="J395" s="24" t="str">
        <f>C395&amp;D395&amp;E395&amp;F395&amp;G395</f>
        <v>OskICARUS394.PQTC.01.04.26</v>
      </c>
      <c r="L395" s="22" t="str">
        <f>A395&amp;" "&amp;C395&amp;D395&amp;E395&amp;F395&amp;G395&amp;" "&amp;H395</f>
        <v>394 OskICARUS394.PQTC.01.04.26 ICARUS_Лагерь</v>
      </c>
    </row>
    <row r="396" spans="1:12">
      <c r="A396" s="5">
        <v>395</v>
      </c>
      <c r="C396" s="6" t="s">
        <v>463</v>
      </c>
      <c r="D396" s="7" t="s">
        <v>426</v>
      </c>
      <c r="E396" s="6" t="str">
        <f>A396&amp;"."</f>
        <v>395.</v>
      </c>
      <c r="F396" s="22" t="s">
        <v>13</v>
      </c>
      <c r="G396" s="8" t="s">
        <v>464</v>
      </c>
      <c r="H396" s="27" t="s">
        <v>448</v>
      </c>
      <c r="J396" s="24" t="str">
        <f>C396&amp;D396&amp;E396&amp;F396&amp;G396</f>
        <v>OskICARUS395.PQTC.01.04.26</v>
      </c>
      <c r="L396" s="22" t="str">
        <f>A396&amp;" "&amp;C396&amp;D396&amp;E396&amp;F396&amp;G396&amp;" "&amp;H396</f>
        <v>395 OskICARUS395.PQTC.01.04.26 ICARUS_Лес</v>
      </c>
    </row>
    <row r="397" spans="1:12">
      <c r="A397" s="5">
        <v>396</v>
      </c>
      <c r="C397" s="6" t="s">
        <v>463</v>
      </c>
      <c r="D397" s="7" t="s">
        <v>426</v>
      </c>
      <c r="E397" s="6" t="str">
        <f>A397&amp;"."</f>
        <v>396.</v>
      </c>
      <c r="F397" s="22" t="s">
        <v>13</v>
      </c>
      <c r="G397" s="8" t="s">
        <v>464</v>
      </c>
      <c r="H397" s="27" t="s">
        <v>453</v>
      </c>
      <c r="J397" s="24" t="str">
        <f>C397&amp;D397&amp;E397&amp;F397&amp;G397</f>
        <v>OskICARUS396.PQTC.01.04.26</v>
      </c>
      <c r="L397" s="22" t="str">
        <f>A397&amp;" "&amp;C397&amp;D397&amp;E397&amp;F397&amp;G397&amp;" "&amp;H397</f>
        <v>396 OskICARUS396.PQTC.01.04.26 ICARUS_Космос</v>
      </c>
    </row>
    <row r="398" spans="1:12">
      <c r="A398" s="5">
        <v>397</v>
      </c>
      <c r="C398" s="6" t="s">
        <v>40</v>
      </c>
      <c r="D398" s="7" t="s">
        <v>426</v>
      </c>
      <c r="E398" s="6" t="str">
        <f>A398&amp;"."</f>
        <v>397.</v>
      </c>
      <c r="F398" s="22" t="s">
        <v>13</v>
      </c>
      <c r="G398" s="8" t="s">
        <v>464</v>
      </c>
      <c r="H398" s="9" t="s">
        <v>465</v>
      </c>
      <c r="J398" s="24" t="str">
        <f>C398&amp;D398&amp;E398&amp;F398&amp;G398</f>
        <v>CupICARUS397.PQTC.01.04.26</v>
      </c>
      <c r="L398" s="22" t="str">
        <f>A398&amp;" "&amp;C398&amp;D398&amp;E398&amp;F398&amp;G398&amp;" "&amp;H398</f>
        <v>397 CupICARUS397.PQTC.01.04.26 ICARUS_Зима</v>
      </c>
    </row>
    <row r="399" spans="1:12">
      <c r="A399" s="5">
        <v>398</v>
      </c>
      <c r="C399" s="6" t="s">
        <v>40</v>
      </c>
      <c r="D399" s="7" t="s">
        <v>426</v>
      </c>
      <c r="E399" s="6" t="str">
        <f>A399&amp;"."</f>
        <v>398.</v>
      </c>
      <c r="F399" s="22" t="s">
        <v>13</v>
      </c>
      <c r="G399" s="8" t="s">
        <v>464</v>
      </c>
      <c r="H399" s="9" t="s">
        <v>461</v>
      </c>
      <c r="J399" s="24" t="str">
        <f>C399&amp;D399&amp;E399&amp;F399&amp;G399</f>
        <v>CupICARUS398.PQTC.01.04.26</v>
      </c>
      <c r="L399" s="22" t="str">
        <f>A399&amp;" "&amp;C399&amp;D399&amp;E399&amp;F399&amp;G399&amp;" "&amp;H399</f>
        <v>398 CupICARUS398.PQTC.01.04.26 ICARUS_Пещера</v>
      </c>
    </row>
    <row r="400" spans="1:12">
      <c r="A400" s="5">
        <v>399</v>
      </c>
      <c r="C400" s="6" t="s">
        <v>40</v>
      </c>
      <c r="D400" s="7" t="s">
        <v>426</v>
      </c>
      <c r="E400" s="6" t="str">
        <f>A400&amp;"."</f>
        <v>399.</v>
      </c>
      <c r="F400" s="22" t="s">
        <v>13</v>
      </c>
      <c r="G400" s="8" t="s">
        <v>464</v>
      </c>
      <c r="H400" s="9" t="s">
        <v>466</v>
      </c>
      <c r="J400" s="24" t="str">
        <f>C400&amp;D400&amp;E400&amp;F400&amp;G400</f>
        <v>CupICARUS399.PQTC.01.04.26</v>
      </c>
      <c r="L400" s="22" t="str">
        <f>A400&amp;" "&amp;C400&amp;D400&amp;E400&amp;F400&amp;G400&amp;" "&amp;H400</f>
        <v>399 CupICARUS399.PQTC.01.04.26 ICARUS_Ущелье</v>
      </c>
    </row>
    <row r="401" spans="1:12">
      <c r="A401" s="5">
        <v>400</v>
      </c>
      <c r="C401" s="6" t="s">
        <v>40</v>
      </c>
      <c r="D401" s="7" t="s">
        <v>426</v>
      </c>
      <c r="E401" s="6" t="str">
        <f>A401&amp;"."</f>
        <v>400.</v>
      </c>
      <c r="F401" s="22" t="s">
        <v>13</v>
      </c>
      <c r="G401" s="8" t="s">
        <v>464</v>
      </c>
      <c r="H401" s="9" t="s">
        <v>467</v>
      </c>
      <c r="J401" s="24" t="str">
        <f>C401&amp;D401&amp;E401&amp;F401&amp;G401</f>
        <v>CupICARUS400.PQTC.01.04.26</v>
      </c>
      <c r="L401" s="22" t="str">
        <f>A401&amp;" "&amp;C401&amp;D401&amp;E401&amp;F401&amp;G401&amp;" "&amp;H401</f>
        <v>400 CupICARUS400.PQTC.01.04.26 ICARUS_Ферма</v>
      </c>
    </row>
    <row r="402" spans="1:12">
      <c r="A402" s="5">
        <v>401</v>
      </c>
      <c r="C402" s="6" t="s">
        <v>40</v>
      </c>
      <c r="D402" s="7" t="s">
        <v>426</v>
      </c>
      <c r="E402" s="6" t="str">
        <f>A402&amp;"."</f>
        <v>401.</v>
      </c>
      <c r="F402" s="22" t="s">
        <v>13</v>
      </c>
      <c r="G402" s="8" t="s">
        <v>464</v>
      </c>
      <c r="H402" s="9" t="s">
        <v>468</v>
      </c>
      <c r="J402" s="24" t="str">
        <f>C402&amp;D402&amp;E402&amp;F402&amp;G402</f>
        <v>CupICARUS401.PQTC.01.04.26</v>
      </c>
      <c r="L402" s="22" t="str">
        <f>A402&amp;" "&amp;C402&amp;D402&amp;E402&amp;F402&amp;G402&amp;" "&amp;H402</f>
        <v>401 CupICARUS401.PQTC.01.04.26 ICARUS_Шахтёр</v>
      </c>
    </row>
    <row r="403" spans="1:12">
      <c r="A403" s="5">
        <v>402</v>
      </c>
      <c r="C403" s="6" t="s">
        <v>40</v>
      </c>
      <c r="D403" s="7" t="s">
        <v>426</v>
      </c>
      <c r="E403" s="6" t="str">
        <f>A403&amp;"."</f>
        <v>402.</v>
      </c>
      <c r="F403" s="22" t="s">
        <v>13</v>
      </c>
      <c r="G403" s="8" t="s">
        <v>464</v>
      </c>
      <c r="H403" s="9" t="s">
        <v>469</v>
      </c>
      <c r="J403" s="24" t="str">
        <f>C403&amp;D403&amp;E403&amp;F403&amp;G403</f>
        <v>CupICARUS402.PQTC.01.04.26</v>
      </c>
      <c r="L403" s="22" t="str">
        <f>A403&amp;" "&amp;C403&amp;D403&amp;E403&amp;F403&amp;G403&amp;" "&amp;H403</f>
        <v>402 CupICARUS402.PQTC.01.04.26 ICARUS_Гемплей</v>
      </c>
    </row>
    <row r="404" spans="1:12">
      <c r="A404" s="5">
        <v>403</v>
      </c>
      <c r="C404" s="6" t="s">
        <v>40</v>
      </c>
      <c r="D404" s="7" t="s">
        <v>426</v>
      </c>
      <c r="E404" s="6" t="str">
        <f>A404&amp;"."</f>
        <v>403.</v>
      </c>
      <c r="F404" s="22" t="s">
        <v>13</v>
      </c>
      <c r="G404" s="8" t="s">
        <v>464</v>
      </c>
      <c r="H404" s="9" t="s">
        <v>470</v>
      </c>
      <c r="J404" s="24" t="str">
        <f>C404&amp;D404&amp;E404&amp;F404&amp;G404</f>
        <v>CupICARUS403.PQTC.01.04.26</v>
      </c>
      <c r="L404" s="22" t="str">
        <f>A404&amp;" "&amp;C404&amp;D404&amp;E404&amp;F404&amp;G404&amp;" "&amp;H404</f>
        <v>403 CupICARUS403.PQTC.01.04.26 ICARUS_Буровая</v>
      </c>
    </row>
    <row r="405" spans="1:12">
      <c r="A405" s="5">
        <v>404</v>
      </c>
      <c r="C405" s="6" t="s">
        <v>40</v>
      </c>
      <c r="D405" s="7" t="s">
        <v>426</v>
      </c>
      <c r="E405" s="6" t="str">
        <f>A405&amp;"."</f>
        <v>404.</v>
      </c>
      <c r="F405" s="22" t="s">
        <v>13</v>
      </c>
      <c r="G405" s="8" t="s">
        <v>464</v>
      </c>
      <c r="H405" s="9" t="s">
        <v>471</v>
      </c>
      <c r="J405" s="24" t="str">
        <f>C405&amp;D405&amp;E405&amp;F405&amp;G405</f>
        <v>CupICARUS404.PQTC.01.04.26</v>
      </c>
      <c r="L405" s="22" t="str">
        <f>A405&amp;" "&amp;C405&amp;D405&amp;E405&amp;F405&amp;G405&amp;" "&amp;H405</f>
        <v>404 CupICARUS404.PQTC.01.04.26 ICARUS_Озеро</v>
      </c>
    </row>
    <row r="406" spans="1:12">
      <c r="A406" s="5">
        <v>405</v>
      </c>
      <c r="C406" s="6" t="s">
        <v>40</v>
      </c>
      <c r="D406" s="7" t="s">
        <v>426</v>
      </c>
      <c r="E406" s="6" t="str">
        <f>A406&amp;"."</f>
        <v>405.</v>
      </c>
      <c r="F406" s="22" t="s">
        <v>13</v>
      </c>
      <c r="G406" s="8" t="s">
        <v>464</v>
      </c>
      <c r="H406" s="9" t="s">
        <v>472</v>
      </c>
      <c r="J406" s="24" t="str">
        <f>C406&amp;D406&amp;E406&amp;F406&amp;G406</f>
        <v>CupICARUS405.PQTC.01.04.26</v>
      </c>
      <c r="L406" s="22" t="str">
        <f>A406&amp;" "&amp;C406&amp;D406&amp;E406&amp;F406&amp;G406&amp;" "&amp;H406</f>
        <v>405 CupICARUS405.PQTC.01.04.26 ICARUS_Кристалы</v>
      </c>
    </row>
    <row r="407" spans="1:12">
      <c r="A407" s="5">
        <v>406</v>
      </c>
      <c r="C407" s="6" t="s">
        <v>40</v>
      </c>
      <c r="D407" s="7" t="s">
        <v>426</v>
      </c>
      <c r="E407" s="6" t="str">
        <f>A407&amp;"."</f>
        <v>406.</v>
      </c>
      <c r="F407" s="22" t="s">
        <v>13</v>
      </c>
      <c r="G407" s="8" t="s">
        <v>464</v>
      </c>
      <c r="H407" s="9" t="s">
        <v>473</v>
      </c>
      <c r="J407" s="24" t="str">
        <f>C407&amp;D407&amp;E407&amp;F407&amp;G407</f>
        <v>CupICARUS406.PQTC.01.04.26</v>
      </c>
      <c r="L407" s="22" t="str">
        <f>A407&amp;" "&amp;C407&amp;D407&amp;E407&amp;F407&amp;G407&amp;" "&amp;H407</f>
        <v>406 CupICARUS406.PQTC.01.04.26 ICARUS_Червь</v>
      </c>
    </row>
    <row r="408" spans="1:12">
      <c r="A408" s="5">
        <v>407</v>
      </c>
      <c r="C408" s="6" t="s">
        <v>40</v>
      </c>
      <c r="D408" s="7" t="s">
        <v>474</v>
      </c>
      <c r="E408" s="6" t="str">
        <f>A408&amp;"."</f>
        <v>407.</v>
      </c>
      <c r="F408" s="22" t="s">
        <v>13</v>
      </c>
      <c r="G408" s="8" t="s">
        <v>464</v>
      </c>
      <c r="H408" s="9" t="s">
        <v>475</v>
      </c>
      <c r="J408" s="24" t="str">
        <f>C408&amp;D408&amp;E408&amp;F408&amp;G408</f>
        <v>CupSatisf407.PQTC.01.04.26</v>
      </c>
      <c r="L408" s="22" t="str">
        <f>A408&amp;" "&amp;C408&amp;D408&amp;E408&amp;F408&amp;G408&amp;" "&amp;H408</f>
        <v>407 CupSatisf407.PQTC.01.04.26 Satisfactory_Обложка</v>
      </c>
    </row>
    <row r="409" spans="1:12">
      <c r="A409" s="5">
        <v>408</v>
      </c>
      <c r="C409" s="6" t="s">
        <v>40</v>
      </c>
      <c r="D409" s="7" t="s">
        <v>474</v>
      </c>
      <c r="E409" s="6" t="str">
        <f>A409&amp;"."</f>
        <v>408.</v>
      </c>
      <c r="F409" s="22" t="s">
        <v>13</v>
      </c>
      <c r="G409" s="8" t="s">
        <v>464</v>
      </c>
      <c r="H409" s="9" t="s">
        <v>476</v>
      </c>
      <c r="J409" s="24" t="str">
        <f>C409&amp;D409&amp;E409&amp;F409&amp;G409</f>
        <v>CupSatisf408.PQTC.01.04.26</v>
      </c>
      <c r="L409" s="22" t="str">
        <f>A409&amp;" "&amp;C409&amp;D409&amp;E409&amp;F409&amp;G409&amp;" "&amp;H409</f>
        <v>408 CupSatisf408.PQTC.01.04.26 Satisfactory_Трубы</v>
      </c>
    </row>
    <row r="410" spans="1:12">
      <c r="A410" s="5">
        <v>409</v>
      </c>
      <c r="C410" s="6" t="s">
        <v>40</v>
      </c>
      <c r="D410" s="7" t="s">
        <v>474</v>
      </c>
      <c r="E410" s="6" t="str">
        <f>A410&amp;"."</f>
        <v>409.</v>
      </c>
      <c r="F410" s="22" t="s">
        <v>13</v>
      </c>
      <c r="G410" s="8" t="s">
        <v>464</v>
      </c>
      <c r="H410" s="9" t="s">
        <v>477</v>
      </c>
      <c r="J410" s="24" t="str">
        <f>C410&amp;D410&amp;E410&amp;F410&amp;G410</f>
        <v>CupSatisf409.PQTC.01.04.26</v>
      </c>
      <c r="L410" s="22" t="str">
        <f>A410&amp;" "&amp;C410&amp;D410&amp;E410&amp;F410&amp;G410&amp;" "&amp;H410</f>
        <v>409 CupSatisf409.PQTC.01.04.26 Satisfactory_Астронавт</v>
      </c>
    </row>
    <row r="411" spans="1:12">
      <c r="A411" s="5">
        <v>410</v>
      </c>
      <c r="C411" s="6" t="s">
        <v>40</v>
      </c>
      <c r="D411" s="7" t="s">
        <v>474</v>
      </c>
      <c r="E411" s="6" t="str">
        <f>A411&amp;"."</f>
        <v>410.</v>
      </c>
      <c r="F411" s="22" t="s">
        <v>13</v>
      </c>
      <c r="G411" s="8" t="s">
        <v>464</v>
      </c>
      <c r="H411" s="9" t="s">
        <v>478</v>
      </c>
      <c r="J411" s="24" t="str">
        <f>C411&amp;D411&amp;E411&amp;F411&amp;G411</f>
        <v>CupSatisf410.PQTC.01.04.26</v>
      </c>
      <c r="L411" s="22" t="str">
        <f>A411&amp;" "&amp;C411&amp;D411&amp;E411&amp;F411&amp;G411&amp;" "&amp;H411</f>
        <v>410 CupSatisf410.PQTC.01.04.26 Satisfactory_Компания</v>
      </c>
    </row>
    <row r="412" spans="1:12">
      <c r="A412" s="5">
        <v>411</v>
      </c>
      <c r="C412" s="6" t="s">
        <v>40</v>
      </c>
      <c r="D412" s="7" t="s">
        <v>474</v>
      </c>
      <c r="E412" s="6" t="str">
        <f>A412&amp;"."</f>
        <v>411.</v>
      </c>
      <c r="F412" s="22" t="s">
        <v>13</v>
      </c>
      <c r="G412" s="8" t="s">
        <v>464</v>
      </c>
      <c r="H412" s="9" t="s">
        <v>479</v>
      </c>
      <c r="J412" s="24" t="str">
        <f>C412&amp;D412&amp;E412&amp;F412&amp;G412</f>
        <v>CupSatisf411.PQTC.01.04.26</v>
      </c>
      <c r="L412" s="22" t="str">
        <f>A412&amp;" "&amp;C412&amp;D412&amp;E412&amp;F412&amp;G412&amp;" "&amp;H412</f>
        <v>411 CupSatisf411.PQTC.01.04.26 Satisfactory_Завод</v>
      </c>
    </row>
    <row r="413" spans="1:12">
      <c r="A413" s="5">
        <v>412</v>
      </c>
      <c r="C413" s="6" t="s">
        <v>40</v>
      </c>
      <c r="D413" s="7" t="s">
        <v>474</v>
      </c>
      <c r="E413" s="6" t="str">
        <f>A413&amp;"."</f>
        <v>412.</v>
      </c>
      <c r="F413" s="22" t="s">
        <v>13</v>
      </c>
      <c r="G413" s="8" t="s">
        <v>464</v>
      </c>
      <c r="H413" s="9" t="s">
        <v>480</v>
      </c>
      <c r="J413" s="24" t="str">
        <f>C413&amp;D413&amp;E413&amp;F413&amp;G413</f>
        <v>CupSatisf412.PQTC.01.04.26</v>
      </c>
      <c r="L413" s="22" t="str">
        <f>A413&amp;" "&amp;C413&amp;D413&amp;E413&amp;F413&amp;G413&amp;" "&amp;H413</f>
        <v>412 CupSatisf412.PQTC.01.04.26 Satisfactory_Двойная</v>
      </c>
    </row>
    <row r="414" spans="1:12">
      <c r="A414" s="5">
        <v>413</v>
      </c>
      <c r="C414" s="6" t="s">
        <v>40</v>
      </c>
      <c r="D414" s="7" t="s">
        <v>474</v>
      </c>
      <c r="E414" s="6" t="str">
        <f>A414&amp;"."</f>
        <v>413.</v>
      </c>
      <c r="F414" s="22" t="s">
        <v>13</v>
      </c>
      <c r="G414" s="8" t="s">
        <v>464</v>
      </c>
      <c r="H414" s="9" t="s">
        <v>481</v>
      </c>
      <c r="J414" s="24" t="str">
        <f>C414&amp;D414&amp;E414&amp;F414&amp;G414</f>
        <v>CupSatisf413.PQTC.01.04.26</v>
      </c>
      <c r="L414" s="22" t="str">
        <f>A414&amp;" "&amp;C414&amp;D414&amp;E414&amp;F414&amp;G414&amp;" "&amp;H414</f>
        <v>413 CupSatisf413.PQTC.01.04.26 Satisfactory_Пустыня</v>
      </c>
    </row>
    <row r="415" spans="1:12">
      <c r="A415" s="5">
        <v>414</v>
      </c>
      <c r="C415" s="6" t="s">
        <v>40</v>
      </c>
      <c r="D415" s="7" t="s">
        <v>474</v>
      </c>
      <c r="E415" s="6" t="str">
        <f>A415&amp;"."</f>
        <v>414.</v>
      </c>
      <c r="F415" s="22" t="s">
        <v>13</v>
      </c>
      <c r="G415" s="8" t="s">
        <v>464</v>
      </c>
      <c r="H415" s="9" t="s">
        <v>482</v>
      </c>
      <c r="J415" s="24" t="str">
        <f>C415&amp;D415&amp;E415&amp;F415&amp;G415</f>
        <v>CupSatisf414.PQTC.01.04.26</v>
      </c>
      <c r="L415" s="22" t="str">
        <f>A415&amp;" "&amp;C415&amp;D415&amp;E415&amp;F415&amp;G415&amp;" "&amp;H415</f>
        <v>414 CupSatisf414.PQTC.01.04.26 Satisfactory_Трубопровод</v>
      </c>
    </row>
    <row r="416" spans="1:12">
      <c r="A416" s="5">
        <v>415</v>
      </c>
      <c r="C416" s="6" t="s">
        <v>40</v>
      </c>
      <c r="D416" s="7" t="s">
        <v>474</v>
      </c>
      <c r="E416" s="6" t="str">
        <f>A416&amp;"."</f>
        <v>415.</v>
      </c>
      <c r="F416" s="22" t="s">
        <v>13</v>
      </c>
      <c r="G416" s="8" t="s">
        <v>464</v>
      </c>
      <c r="H416" s="9" t="s">
        <v>483</v>
      </c>
      <c r="J416" s="24" t="str">
        <f>C416&amp;D416&amp;E416&amp;F416&amp;G416</f>
        <v>CupSatisf415.PQTC.01.04.26</v>
      </c>
      <c r="L416" s="22" t="str">
        <f>A416&amp;" "&amp;C416&amp;D416&amp;E416&amp;F416&amp;G416&amp;" "&amp;H416</f>
        <v>415 CupSatisf415.PQTC.01.04.26 Satisfactory_Автоматизация</v>
      </c>
    </row>
    <row r="417" spans="1:12">
      <c r="A417" s="5">
        <v>416</v>
      </c>
      <c r="C417" s="6" t="s">
        <v>40</v>
      </c>
      <c r="D417" s="7" t="s">
        <v>474</v>
      </c>
      <c r="E417" s="6" t="str">
        <f>A417&amp;"."</f>
        <v>416.</v>
      </c>
      <c r="F417" s="22" t="s">
        <v>13</v>
      </c>
      <c r="G417" s="8" t="s">
        <v>464</v>
      </c>
      <c r="H417" s="9" t="s">
        <v>484</v>
      </c>
      <c r="J417" s="24" t="str">
        <f>C417&amp;D417&amp;E417&amp;F417&amp;G417</f>
        <v>CupSatisf416.PQTC.01.04.26</v>
      </c>
      <c r="L417" s="22" t="str">
        <f>A417&amp;" "&amp;C417&amp;D417&amp;E417&amp;F417&amp;G417&amp;" "&amp;H417</f>
        <v>416 CupSatisf416.PQTC.01.04.26 Satisfactory_Автоматизация_2</v>
      </c>
    </row>
    <row r="418" spans="1:12">
      <c r="A418" s="5">
        <v>417</v>
      </c>
      <c r="C418" s="6" t="s">
        <v>40</v>
      </c>
      <c r="D418" s="7" t="s">
        <v>474</v>
      </c>
      <c r="E418" s="6" t="str">
        <f>A418&amp;"."</f>
        <v>417.</v>
      </c>
      <c r="F418" s="22" t="s">
        <v>13</v>
      </c>
      <c r="G418" s="8" t="s">
        <v>464</v>
      </c>
      <c r="H418" s="9" t="s">
        <v>485</v>
      </c>
      <c r="J418" s="24" t="str">
        <f>C418&amp;D418&amp;E418&amp;F418&amp;G418</f>
        <v>CupSatisf417.PQTC.01.04.26</v>
      </c>
      <c r="L418" s="22" t="str">
        <f>A418&amp;" "&amp;C418&amp;D418&amp;E418&amp;F418&amp;G418&amp;" "&amp;H418</f>
        <v>417 CupSatisf417.PQTC.01.04.26 Satisfactory_Конвейер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486</v>
      </c>
      <c r="B1" s="2" t="s">
        <v>487</v>
      </c>
    </row>
    <row r="2" ht="16.35" spans="1:2">
      <c r="A2" s="3" t="s">
        <v>488</v>
      </c>
      <c r="B2" s="3" t="s">
        <v>489</v>
      </c>
    </row>
    <row r="3" ht="16.35" spans="1:2">
      <c r="A3" s="4" t="s">
        <v>490</v>
      </c>
      <c r="B3" s="4" t="s">
        <v>491</v>
      </c>
    </row>
    <row r="4" ht="16.35" spans="1:2">
      <c r="A4" s="4" t="s">
        <v>492</v>
      </c>
      <c r="B4" s="4" t="s">
        <v>493</v>
      </c>
    </row>
    <row r="5" ht="31.95" spans="1:2">
      <c r="A5" s="4" t="s">
        <v>494</v>
      </c>
      <c r="B5" s="4" t="s">
        <v>495</v>
      </c>
    </row>
    <row r="6" ht="16.35" spans="1:2">
      <c r="A6" s="3" t="s">
        <v>496</v>
      </c>
      <c r="B6" s="3" t="s">
        <v>497</v>
      </c>
    </row>
    <row r="7" ht="16.35" spans="1:2">
      <c r="A7" s="4" t="s">
        <v>498</v>
      </c>
      <c r="B7" s="4" t="s">
        <v>499</v>
      </c>
    </row>
    <row r="8" ht="16.35" spans="1:2">
      <c r="A8" s="4" t="s">
        <v>500</v>
      </c>
      <c r="B8" s="4" t="s">
        <v>501</v>
      </c>
    </row>
    <row r="9" ht="16.35" spans="1:2">
      <c r="A9" s="4" t="s">
        <v>502</v>
      </c>
      <c r="B9" s="4" t="s">
        <v>503</v>
      </c>
    </row>
    <row r="10" ht="16.35" spans="1:2">
      <c r="A10" s="4" t="s">
        <v>504</v>
      </c>
      <c r="B10" s="4" t="s">
        <v>505</v>
      </c>
    </row>
    <row r="11" ht="16.35" spans="1:2">
      <c r="A11" s="4" t="s">
        <v>506</v>
      </c>
      <c r="B11" s="4" t="s">
        <v>507</v>
      </c>
    </row>
    <row r="12" ht="16.35" spans="1:2">
      <c r="A12" s="4" t="s">
        <v>508</v>
      </c>
      <c r="B12" s="4" t="s">
        <v>509</v>
      </c>
    </row>
    <row r="13" ht="16.35" spans="1:2">
      <c r="A13" s="4" t="s">
        <v>510</v>
      </c>
      <c r="B13" s="4" t="s">
        <v>511</v>
      </c>
    </row>
    <row r="14" ht="16.35" spans="1:2">
      <c r="A14" s="4" t="s">
        <v>512</v>
      </c>
      <c r="B14" s="4" t="s">
        <v>513</v>
      </c>
    </row>
    <row r="15" ht="16.35" spans="1:2">
      <c r="A15" s="3" t="s">
        <v>514</v>
      </c>
      <c r="B15" s="3" t="s">
        <v>515</v>
      </c>
    </row>
    <row r="16" ht="16.35" spans="1:2">
      <c r="A16" s="4" t="s">
        <v>516</v>
      </c>
      <c r="B16" s="4" t="s">
        <v>19</v>
      </c>
    </row>
    <row r="17" ht="16.35" spans="1:2">
      <c r="A17" s="4" t="s">
        <v>517</v>
      </c>
      <c r="B17" s="4" t="s">
        <v>518</v>
      </c>
    </row>
    <row r="18" ht="16.35" spans="1:2">
      <c r="A18" s="3" t="s">
        <v>519</v>
      </c>
      <c r="B18" s="3" t="s">
        <v>520</v>
      </c>
    </row>
    <row r="19" ht="16.35" spans="1:2">
      <c r="A19" s="4" t="s">
        <v>521</v>
      </c>
      <c r="B19" s="4" t="s">
        <v>246</v>
      </c>
    </row>
    <row r="20" ht="16.35" spans="1:2">
      <c r="A20" s="4" t="s">
        <v>522</v>
      </c>
      <c r="B20" s="4" t="s">
        <v>463</v>
      </c>
    </row>
    <row r="21" ht="16.35" spans="1:2">
      <c r="A21" s="3" t="s">
        <v>523</v>
      </c>
      <c r="B21" s="3" t="s">
        <v>524</v>
      </c>
    </row>
    <row r="22" ht="16.35" spans="1:2">
      <c r="A22" s="4" t="s">
        <v>525</v>
      </c>
      <c r="B22" s="4" t="s">
        <v>10</v>
      </c>
    </row>
    <row r="23" ht="16.35" spans="1:2">
      <c r="A23" s="3" t="s">
        <v>526</v>
      </c>
      <c r="B23" s="3" t="s">
        <v>527</v>
      </c>
    </row>
    <row r="24" ht="16.35" spans="1:2">
      <c r="A24" s="4" t="s">
        <v>528</v>
      </c>
      <c r="B24" s="4" t="s">
        <v>529</v>
      </c>
    </row>
    <row r="25" ht="16.35" spans="1:2">
      <c r="A25" s="4" t="s">
        <v>530</v>
      </c>
      <c r="B25" s="4" t="s">
        <v>531</v>
      </c>
    </row>
    <row r="26" ht="16.35" spans="1:2">
      <c r="A26" s="3" t="s">
        <v>532</v>
      </c>
      <c r="B26" s="3" t="s">
        <v>533</v>
      </c>
    </row>
    <row r="27" ht="16.35" spans="1:2">
      <c r="A27" s="4" t="s">
        <v>534</v>
      </c>
      <c r="B27" s="4" t="s">
        <v>40</v>
      </c>
    </row>
    <row r="28" ht="16.35" spans="1:2">
      <c r="A28" s="3" t="s">
        <v>535</v>
      </c>
      <c r="B28" s="3" t="s">
        <v>536</v>
      </c>
    </row>
    <row r="29" ht="16.35" spans="1:2">
      <c r="A29" s="4" t="s">
        <v>537</v>
      </c>
      <c r="B29" s="4" t="s">
        <v>538</v>
      </c>
    </row>
    <row r="30" ht="16.35" spans="1:2">
      <c r="A30" s="4" t="s">
        <v>539</v>
      </c>
      <c r="B30" s="4" t="s">
        <v>540</v>
      </c>
    </row>
    <row r="31" ht="16.35" spans="1:2">
      <c r="A31" s="3" t="s">
        <v>541</v>
      </c>
      <c r="B31" s="3" t="s">
        <v>542</v>
      </c>
    </row>
    <row r="32" ht="16.35" spans="1:2">
      <c r="A32" s="4" t="s">
        <v>543</v>
      </c>
      <c r="B32" s="4" t="s">
        <v>544</v>
      </c>
    </row>
    <row r="33" ht="16.35" spans="1:2">
      <c r="A33" s="4" t="s">
        <v>545</v>
      </c>
      <c r="B33" s="4" t="s">
        <v>546</v>
      </c>
    </row>
    <row r="34" ht="16.35" spans="1:2">
      <c r="A34" s="3" t="s">
        <v>547</v>
      </c>
      <c r="B34" s="3" t="s">
        <v>548</v>
      </c>
    </row>
    <row r="35" ht="16.35" spans="1:2">
      <c r="A35" s="4" t="s">
        <v>549</v>
      </c>
      <c r="B35" s="4" t="s">
        <v>550</v>
      </c>
    </row>
    <row r="36" ht="16.35" spans="1:2">
      <c r="A36" s="4" t="s">
        <v>551</v>
      </c>
      <c r="B36" s="4" t="s">
        <v>552</v>
      </c>
    </row>
    <row r="37" ht="16.35" spans="1:2">
      <c r="A37" s="4" t="s">
        <v>553</v>
      </c>
      <c r="B37" s="4" t="s">
        <v>554</v>
      </c>
    </row>
    <row r="38" ht="16.35" spans="1:2">
      <c r="A38" s="4" t="s">
        <v>555</v>
      </c>
      <c r="B38" s="4" t="s">
        <v>556</v>
      </c>
    </row>
    <row r="39" ht="16.35" spans="1:2">
      <c r="A39" s="4" t="s">
        <v>557</v>
      </c>
      <c r="B39" s="4" t="s">
        <v>558</v>
      </c>
    </row>
    <row r="40" ht="16.35" spans="1:2">
      <c r="A40" s="3" t="s">
        <v>559</v>
      </c>
      <c r="B40" s="3" t="s">
        <v>560</v>
      </c>
    </row>
    <row r="41" ht="16.35" spans="1:2">
      <c r="A41" s="4" t="s">
        <v>561</v>
      </c>
      <c r="B41" s="4" t="s">
        <v>562</v>
      </c>
    </row>
    <row r="42" ht="16.35" spans="1:2">
      <c r="A42" s="4" t="s">
        <v>563</v>
      </c>
      <c r="B42" s="4" t="s">
        <v>564</v>
      </c>
    </row>
    <row r="43" ht="16.35" spans="1:2">
      <c r="A43" s="3" t="s">
        <v>565</v>
      </c>
      <c r="B43" s="3" t="s">
        <v>566</v>
      </c>
    </row>
    <row r="44" ht="16.35" spans="1:2">
      <c r="A44" s="4" t="s">
        <v>567</v>
      </c>
      <c r="B44" s="4" t="s">
        <v>568</v>
      </c>
    </row>
    <row r="45" ht="16.35" spans="1:2">
      <c r="A45" s="4" t="s">
        <v>569</v>
      </c>
      <c r="B45" s="4" t="s">
        <v>570</v>
      </c>
    </row>
    <row r="46" ht="16.35" spans="1:2">
      <c r="A46" s="4" t="s">
        <v>571</v>
      </c>
      <c r="B46" s="4" t="s">
        <v>572</v>
      </c>
    </row>
    <row r="47" ht="16.35" spans="1:2">
      <c r="A47" s="4" t="s">
        <v>573</v>
      </c>
      <c r="B47" s="4" t="s">
        <v>574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2026-04-01T19:30:17Z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