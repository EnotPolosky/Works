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<sst xmlns="http://schemas.openxmlformats.org/spreadsheetml/2006/main" count="2191" uniqueCount="546">
  <si>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</si>
  <si>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</si>
  <si>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</si>
  <si>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</si>
  <si>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</si>
  <si>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</si>
  <si>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</si>
  <si>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</si>
  <si>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</si>
  <si>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</si>
  <si>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</si>
  <si>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</si>
  <si>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</si>
  <si>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</si>
  <si>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</si>
  <si>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</si>
  <si>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</si>
  <si>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</si>
  <si>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</si>
  <si>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</si>
  <si>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</si>
  <si>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</si>
  <si>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</si>
  <si>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</si>
  <si>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</si>
  <si>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</si>
  <si>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</si>
  <si>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</si>
  <si>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</si>
  <si>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</si>
  <si>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</si>
  <si>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</si>
  <si>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</si>
  <si>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</si>
  <si>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</si>
  <si>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</si>
  <si>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</si>
  <si>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</si>
  <si>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</si>
  <si>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</si>
  <si>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</si>
  <si>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</si>
  <si>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</si>
  <si>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</si>
  <si>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</si>
  <si>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</si>
  <si>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</si>
  <si>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</si>
  <si>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</si>
  <si>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</si>
  <si>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</si>
  <si>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</si>
  <si>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</si>
  <si>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</si>
  <si>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</si>
  <si>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</si>
  <si>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</si>
  <si>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</si>
  <si>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</si>
  <si>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</si>
  <si>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</si>
  <si>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</si>
  <si>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</si>
  <si>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</si>
  <si>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</si>
  <si>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</si>
  <si>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</si>
  <si>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</si>
  <si>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</si>
  <si>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</si>
  <si>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</si>
  <si>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</si>
  <si>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</si>
  <si>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</si>
  <si>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</si>
  <si>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</si>
  <si>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</si>
  <si>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</si>
  <si>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</si>
  <si>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</si>
  <si>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</si>
  <si>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</si>
  <si>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</si>
  <si>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</si>
  <si>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</si>
  <si>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</si>
  <si>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</si>
  <si>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</si>
  <si>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</si>
  <si>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</si>
  <si>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</si>
  <si>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</si>
  <si>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</si>
  <si>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</si>
  <si>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</si>
  <si>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</si>
  <si>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</si>
  <si>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</si>
  <si>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</si>
  <si>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</si>
  <si>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</si>
  <si>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</si>
  <si>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</si>
  <si>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</si>
  <si>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</si>
  <si>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</si>
  <si>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</si>
  <si>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</si>
  <si>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</si>
  <si>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</si>
  <si>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</si>
  <si>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</si>
  <si>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</si>
  <si>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</si>
  <si>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</si>
  <si>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</si>
  <si>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</si>
  <si>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</si>
  <si>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</si>
  <si>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</si>
  <si>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</si>
  <si>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</si>
  <si>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</si>
  <si>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</si>
  <si>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</si>
  <si>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</si>
  <si>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</si>
  <si>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</si>
  <si>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</si>
  <si>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</si>
  <si>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</si>
  <si>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</si>
  <si>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</si>
  <si>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</si>
  <si>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</si>
  <si>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</si>
  <si>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</si>
  <si>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</si>
  <si>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</si>
  <si>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</si>
  <si>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</si>
  <si>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</si>
  <si>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</si>
  <si>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</si>
  <si>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</si>
  <si>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</si>
  <si>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</si>
  <si>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</si>
  <si>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</si>
  <si>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</si>
  <si>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</si>
  <si>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</si>
  <si>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</si>
  <si>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</si>
  <si>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</si>
  <si>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</si>
  <si>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</si>
  <si>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</si>
  <si>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</si>
  <si>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</si>
  <si>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</si>
  <si>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</si>
  <si>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</si>
  <si>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</si>
  <si>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</si>
  <si>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</si>
  <si>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</si>
  <si>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</si>
  <si>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</si>
  <si>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</si>
  <si>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</si>
  <si>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</si>
  <si>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</si>
  <si>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</si>
  <si>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</si>
  <si>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</si>
  <si>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</si>
  <si>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</si>
  <si>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</si>
  <si>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</si>
  <si>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</si>
  <si>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</si>
  <si>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</si>
  <si>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</si>
  <si>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</si>
  <si>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</si>
  <si>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</si>
  <si>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</si>
  <si>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</si>
  <si>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</si>
  <si>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</si>
  <si>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</si>
  <si>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</si>
  <si>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</si>
  <si>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</si>
  <si>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</si>
  <si>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</si>
  <si>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</si>
  <si>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</si>
  <si>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</si>
  <si>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</si>
  <si>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</si>
  <si>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</si>
  <si>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</si>
  <si>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</si>
  <si>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</si>
  <si>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</si>
  <si>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</si>
  <si>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</si>
  <si>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</si>
  <si>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</si>
  <si>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</si>
  <si>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</si>
  <si>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</si>
  <si>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</si>
  <si>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</si>
  <si>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</si>
  <si>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</si>
  <si>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</si>
  <si>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</si>
  <si>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</si>
  <si>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</si>
  <si>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</si>
  <si>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</si>
  <si>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</si>
  <si>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</si>
  <si>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</si>
  <si>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</si>
  <si>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</si>
  <si>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</si>
  <si>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</si>
  <si>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</si>
  <si>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</si>
  <si>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</si>
  <si>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</si>
  <si>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</si>
  <si>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</si>
  <si>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</si>
  <si>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</si>
  <si>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</si>
  <si>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</si>
  <si>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</si>
  <si>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</si>
  <si>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</si>
  <si>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</si>
  <si>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</si>
  <si>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</si>
  <si>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</si>
  <si>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</si>
  <si>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</si>
  <si>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</si>
  <si>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</si>
  <si>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</si>
  <si>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</si>
  <si>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</si>
  <si>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</si>
  <si>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</si>
  <si>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</si>
  <si>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</si>
  <si>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</si>
  <si>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</si>
  <si>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</si>
  <si>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</si>
  <si>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</si>
  <si>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</si>
  <si>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</si>
  <si>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</si>
  <si>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</si>
  <si>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</si>
  <si>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</si>
  <si>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</si>
  <si>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</si>
  <si>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</si>
  <si>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</si>
  <si>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</si>
  <si>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</si>
  <si>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</si>
  <si>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</si>
  <si>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</si>
  <si>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</si>
  <si>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</si>
  <si>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</si>
  <si>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</si>
  <si>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</si>
  <si>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</si>
  <si>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</si>
  <si>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</si>
  <si>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</si>
  <si>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</si>
  <si>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</si>
  <si>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</si>
  <si>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</si>
  <si>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</si>
  <si>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</si>
  <si>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</si>
  <si>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</si>
  <si>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</si>
  <si>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</si>
  <si>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</si>
  <si>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</si>
  <si>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</si>
  <si>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</si>
  <si>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</si>
  <si>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</si>
  <si>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</si>
  <si>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</si>
  <si>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</si>
  <si>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</si>
  <si>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</si>
  <si>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</si>
  <si>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</si>
  <si>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</si>
  <si>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</si>
  <si>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</si>
  <si>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</si>
  <si>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</si>
  <si>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</si>
  <si>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</si>
  <si>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</si>
  <si>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</si>
  <si>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</si>
  <si>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</si>
  <si>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</si>
  <si>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</si>
  <si>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</si>
  <si>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</si>
  <si>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</si>
  <si>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</si>
  <si>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</si>
  <si>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</si>
  <si>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</si>
  <si>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</si>
  <si>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</si>
  <si>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</si>
  <si>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</si>
  <si>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</si>
  <si>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</si>
  <si>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</si>
  <si>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</si>
  <si>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</si>
  <si>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</si>
  <si>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</si>
  <si>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</si>
  <si>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</si>
  <si>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</si>
  <si>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</si>
  <si>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</si>
  <si>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</si>
  <si>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</si>
  <si>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</si>
  <si>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</si>
  <si>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</si>
  <si>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</si>
  <si>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</si>
  <si>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</si>
  <si>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</si>
  <si>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</si>
  <si>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</si>
  <si>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</si>
  <si>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</si>
  <si>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</si>
  <si>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</si>
  <si>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</si>
  <si>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</si>
  <si>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</si>
  <si>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</si>
  <si>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</si>
  <si>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</si>
  <si>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</si>
  <si>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</si>
  <si>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</si>
  <si>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</si>
  <si>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</si>
  <si>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</si>
  <si>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</si>
  <si>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</si>
  <si>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</si>
  <si>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</si>
  <si>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</si>
  <si>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</si>
  <si>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</si>
  <si>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</si>
  <si>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</si>
  <si>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</si>
  <si>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</si>
  <si>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</si>
  <si>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</si>
  <si>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</si>
  <si>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</si>
  <si>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</si>
  <si>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</si>
  <si>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</si>
  <si>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</si>
  <si>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</si>
  <si>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</si>
  <si>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</si>
  <si>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</si>
  <si>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</si>
  <si>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</si>
  <si>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</si>
  <si>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</si>
  <si>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</si>
  <si>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</si>
  <si>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</si>
  <si>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</si>
  <si>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</si>
  <si>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</si>
  <si>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</si>
  <si>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</si>
  <si>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</si>
  <si>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</si>
  <si>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Анталья горы</t>
  </si>
  <si>
    <t>Анталья канатная дорога</t>
  </si>
  <si>
    <t>Анталья амфитеатр Сиде</t>
  </si>
  <si>
    <t>Анталья Дом-музей Ататюрка</t>
  </si>
  <si>
    <t>Анталья Археологический музей</t>
  </si>
  <si>
    <t>Dont_Starve_Уилсон</t>
  </si>
  <si>
    <t>Dont_Starve_Венди</t>
  </si>
  <si>
    <t>Dont_Starve_Венди_2</t>
  </si>
  <si>
    <t>Dont_Starve_ Уиллоу</t>
  </si>
  <si>
    <t>Dont_Starve_ Уиллоу_2</t>
  </si>
  <si>
    <t>Dont_Starve_ Уиллоу_3</t>
  </si>
  <si>
    <t>Dont_Starve_Вуди</t>
  </si>
  <si>
    <t>Dont_Starve_Персонажи</t>
  </si>
  <si>
    <t>Dont_Starve_Персонажи_2</t>
  </si>
  <si>
    <t>Dont_Starve_Циклоп-олень</t>
  </si>
  <si>
    <t>ICARUS</t>
  </si>
  <si>
    <t>28.03.26</t>
  </si>
  <si>
    <t>ICARUS_Обложка_1</t>
  </si>
  <si>
    <t>ICARUS_Обложка_2</t>
  </si>
  <si>
    <t>ICARUS_Обложка_3</t>
  </si>
  <si>
    <t>ICARUS_Обложка_4</t>
  </si>
  <si>
    <t>ICARUS_Обложка_5</t>
  </si>
  <si>
    <t>ICARUS_Обложка_6</t>
  </si>
  <si>
    <t>ICARUS_Обложка_7</t>
  </si>
  <si>
    <t>ICARUS_Обложка_8</t>
  </si>
  <si>
    <t>ICARUS_Обложка_9</t>
  </si>
  <si>
    <t>ICARUS_Обложка_10</t>
  </si>
  <si>
    <t>29.03.26</t>
  </si>
  <si>
    <t>ICARUS_Сердце</t>
  </si>
  <si>
    <t>ICARUS_Медведь</t>
  </si>
  <si>
    <t>ICARUS_Астронавты</t>
  </si>
  <si>
    <t>ICARUS_Оазис</t>
  </si>
  <si>
    <t>ICARUS_Пикник</t>
  </si>
  <si>
    <t>ICARUS_Верстак</t>
  </si>
  <si>
    <t>ICARUS_Грибы</t>
  </si>
  <si>
    <t>ICARUS_Равнины</t>
  </si>
  <si>
    <t>ICARUS_Лава</t>
  </si>
  <si>
    <t>ICARUS_Лес</t>
  </si>
  <si>
    <t>ICARUS_Фауна</t>
  </si>
  <si>
    <t>ICARUS_Горы</t>
  </si>
  <si>
    <t>30.03.26</t>
  </si>
  <si>
    <t>ICARUS_Лагерь</t>
  </si>
  <si>
    <t>ICARUS_Космос</t>
  </si>
  <si>
    <t>ICARUS_Олень</t>
  </si>
  <si>
    <t>ICARUS_Луга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</si>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</sst>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0" xfId="0" applyFont="1" applyBorder="1" applyAlignment="1">
      <alignment horizontal="left"/>
    </xf>
    <xf numFmtId="49" fontId="0" fillId="0" borderId="0" xfId="0" applyNumberFormat="1" applyBorder="1" applyAlignment="1">
      <alignment horizontal="left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49" fontId="4" fillId="3" borderId="0" xfId="0" applyNumberFormat="1" applyFont="1" applyFill="1" applyBorder="1" applyAlignment="1">
      <alignment horizontal="left" vertical="center" wrapText="1"/>
    </xf>
    <xf numFmtId="49" fontId="0" fillId="0" borderId="0" xfId="0" applyNumberForma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49" fontId="0" fillId="0" borderId="0" xfId="0" applyNumberFormat="1" applyFont="1" applyBorder="1" applyAlignment="1">
      <alignment horizontal="left"/>
    </xf>
    <xf numFmtId="0" fontId="5" fillId="0" borderId="0" xfId="0" applyFont="1" applyBorder="1" applyAlignment="1">
      <alignment horizontal="left" wrapText="1"/>
    </xf>
    <xf numFmtId="0" fontId="6" fillId="0" borderId="0" xfId="0" applyFont="1" applyBorder="1" applyAlignment="1">
      <alignment horizontal="left"/>
    </xf>
    <xf numFmtId="0" fontId="4" fillId="3" borderId="0" xfId="0" applyFont="1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9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left"/>
    </xf>
    <xf numFmtId="0" fontId="7" fillId="0" borderId="0" xfId="0" applyFont="1" applyFill="1" applyBorder="1" applyAlignment="1">
      <alignment horizontal="left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7"/>
  <sheetViews>
    <sheetView tabSelected="1" topLeftCell="C367" workbookViewId="0">
      <selection activeCell="L377" sqref="L377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5.6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5.6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5.6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5.6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5.6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5.6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5.6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5.6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5.6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5.6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315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321" si="10">C258&amp;D258&amp;E258&amp;F258&amp;G258</f>
        <v>NtrAntaly257.PQTC.21.03.26</v>
      </c>
      <c r="L258" s="19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371</v>
      </c>
      <c r="H280" s="6" t="s">
        <v>372</v>
      </c>
      <c r="J280" s="21" t="str">
        <f t="shared" si="10"/>
        <v>NtrAntaly279.PQTC.25.03.26</v>
      </c>
      <c r="L280" s="19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373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374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375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376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377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378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19" t="s">
        <v>13</v>
      </c>
      <c r="G287" s="8" t="s">
        <v>365</v>
      </c>
      <c r="H287" s="6" t="s">
        <v>379</v>
      </c>
      <c r="J287" s="21" t="str">
        <f t="shared" si="10"/>
        <v>CupDBDGam286.PQTC.24.03.26</v>
      </c>
      <c r="L287" s="19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19" t="s">
        <v>13</v>
      </c>
      <c r="G288" s="8" t="s">
        <v>365</v>
      </c>
      <c r="H288" s="6" t="s">
        <v>380</v>
      </c>
      <c r="J288" s="21" t="str">
        <f t="shared" si="10"/>
        <v>CupDBDGam287.PQTC.24.03.26</v>
      </c>
      <c r="L288" s="19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19" t="s">
        <v>13</v>
      </c>
      <c r="G289" s="8" t="s">
        <v>365</v>
      </c>
      <c r="H289" s="6" t="s">
        <v>328</v>
      </c>
      <c r="J289" s="21" t="str">
        <f t="shared" si="10"/>
        <v>CupDBDGam288.PQTC.24.03.26</v>
      </c>
      <c r="L289" s="19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19" t="s">
        <v>13</v>
      </c>
      <c r="G290" s="8" t="s">
        <v>365</v>
      </c>
      <c r="H290" s="6" t="s">
        <v>381</v>
      </c>
      <c r="J290" s="21" t="str">
        <f t="shared" si="10"/>
        <v>CupDBDGam289.PQTC.24.03.26</v>
      </c>
      <c r="L290" s="19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19" t="s">
        <v>13</v>
      </c>
      <c r="G291" s="8" t="s">
        <v>365</v>
      </c>
      <c r="H291" s="6" t="s">
        <v>382</v>
      </c>
      <c r="J291" s="21" t="str">
        <f t="shared" si="10"/>
        <v>CupDBDGam290.PQTC.24.03.26</v>
      </c>
      <c r="L291" s="19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19" t="s">
        <v>13</v>
      </c>
      <c r="G292" s="8" t="s">
        <v>365</v>
      </c>
      <c r="H292" s="6" t="s">
        <v>383</v>
      </c>
      <c r="J292" s="21" t="str">
        <f t="shared" si="10"/>
        <v>CupDBDGam291.PQTC.24.03.26</v>
      </c>
      <c r="L292" s="19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19" t="s">
        <v>13</v>
      </c>
      <c r="G293" s="8" t="s">
        <v>365</v>
      </c>
      <c r="H293" s="6" t="s">
        <v>384</v>
      </c>
      <c r="J293" s="21" t="str">
        <f t="shared" si="10"/>
        <v>CupDBDGam292.PQTC.24.03.26</v>
      </c>
      <c r="L293" s="19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19" t="s">
        <v>13</v>
      </c>
      <c r="G294" s="8" t="s">
        <v>365</v>
      </c>
      <c r="H294" s="6" t="s">
        <v>385</v>
      </c>
      <c r="J294" s="21" t="str">
        <f t="shared" si="10"/>
        <v>CupDBDGam293.PQTC.24.03.26</v>
      </c>
      <c r="L294" s="19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19" t="s">
        <v>13</v>
      </c>
      <c r="G295" s="8" t="s">
        <v>365</v>
      </c>
      <c r="H295" s="6" t="s">
        <v>386</v>
      </c>
      <c r="J295" s="21" t="str">
        <f t="shared" si="10"/>
        <v>CupDBDGam294.PQTC.24.03.26</v>
      </c>
      <c r="L295" s="19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19" t="s">
        <v>13</v>
      </c>
      <c r="G296" s="8" t="s">
        <v>365</v>
      </c>
      <c r="H296" s="6" t="s">
        <v>387</v>
      </c>
      <c r="J296" s="21" t="str">
        <f t="shared" si="10"/>
        <v>CupDBDGam295.PQTC.24.03.26</v>
      </c>
      <c r="L296" s="19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19" t="s">
        <v>13</v>
      </c>
      <c r="G297" s="8" t="s">
        <v>365</v>
      </c>
      <c r="H297" s="6" t="s">
        <v>388</v>
      </c>
      <c r="J297" s="21" t="str">
        <f t="shared" si="10"/>
        <v>CupDBDGam296.PQTC.24.03.26</v>
      </c>
      <c r="L297" s="19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19" t="s">
        <v>13</v>
      </c>
      <c r="G298" s="8" t="s">
        <v>365</v>
      </c>
      <c r="H298" s="6" t="s">
        <v>389</v>
      </c>
      <c r="J298" s="21" t="str">
        <f t="shared" si="10"/>
        <v>CupDBDGam297.PQTC.24.03.26</v>
      </c>
      <c r="L298" s="19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19" t="s">
        <v>13</v>
      </c>
      <c r="G299" s="8" t="s">
        <v>365</v>
      </c>
      <c r="H299" s="6" t="s">
        <v>390</v>
      </c>
      <c r="J299" s="21" t="str">
        <f t="shared" si="10"/>
        <v>CupDBDGam298.PQTC.24.03.26</v>
      </c>
      <c r="L299" s="19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19" t="s">
        <v>13</v>
      </c>
      <c r="G300" s="8" t="s">
        <v>365</v>
      </c>
      <c r="H300" s="6" t="s">
        <v>391</v>
      </c>
      <c r="J300" s="21" t="str">
        <f t="shared" si="10"/>
        <v>CupDBDGam299.PQTC.24.03.26</v>
      </c>
      <c r="L300" s="19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19" t="s">
        <v>13</v>
      </c>
      <c r="G301" s="8" t="s">
        <v>365</v>
      </c>
      <c r="H301" s="6" t="s">
        <v>392</v>
      </c>
      <c r="J301" s="21" t="str">
        <f t="shared" si="10"/>
        <v>CupDBDGam300.PQTC.24.03.26</v>
      </c>
      <c r="L301" s="19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19" t="s">
        <v>13</v>
      </c>
      <c r="G302" s="8" t="s">
        <v>365</v>
      </c>
      <c r="H302" s="6" t="s">
        <v>393</v>
      </c>
      <c r="J302" s="21" t="str">
        <f t="shared" si="10"/>
        <v>CupDBDGam301.PQTC.24.03.26</v>
      </c>
      <c r="L302" s="19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19" t="s">
        <v>13</v>
      </c>
      <c r="G303" s="8" t="s">
        <v>371</v>
      </c>
      <c r="H303" s="6" t="s">
        <v>394</v>
      </c>
      <c r="J303" s="21" t="str">
        <f t="shared" si="10"/>
        <v>NtrAntaly302.PQTC.25.03.26</v>
      </c>
      <c r="L303" s="19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19" t="s">
        <v>13</v>
      </c>
      <c r="G304" s="8" t="s">
        <v>371</v>
      </c>
      <c r="H304" s="6" t="s">
        <v>394</v>
      </c>
      <c r="J304" s="21" t="str">
        <f t="shared" si="10"/>
        <v>NtrAntaly303.PQTC.25.03.26</v>
      </c>
      <c r="L304" s="19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19" t="s">
        <v>13</v>
      </c>
      <c r="G305" s="8" t="s">
        <v>371</v>
      </c>
      <c r="H305" s="6" t="s">
        <v>394</v>
      </c>
      <c r="J305" s="21" t="str">
        <f t="shared" si="10"/>
        <v>NtrAntaly304.PQTC.25.03.26</v>
      </c>
      <c r="L305" s="19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19" t="s">
        <v>13</v>
      </c>
      <c r="G306" s="8" t="s">
        <v>371</v>
      </c>
      <c r="H306" s="6" t="s">
        <v>394</v>
      </c>
      <c r="J306" s="21" t="str">
        <f t="shared" si="10"/>
        <v>NtrAntaly305.PQTC.25.03.26</v>
      </c>
      <c r="L306" s="19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19" t="s">
        <v>13</v>
      </c>
      <c r="G307" s="8" t="s">
        <v>371</v>
      </c>
      <c r="H307" s="6" t="s">
        <v>394</v>
      </c>
      <c r="J307" s="21" t="str">
        <f t="shared" si="10"/>
        <v>NtrAntaly306.PQTC.25.03.26</v>
      </c>
      <c r="L307" s="19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19" t="s">
        <v>13</v>
      </c>
      <c r="G308" s="8" t="s">
        <v>371</v>
      </c>
      <c r="H308" s="6" t="s">
        <v>394</v>
      </c>
      <c r="J308" s="21" t="str">
        <f t="shared" si="10"/>
        <v>NtrAntaly307.PQTC.25.03.26</v>
      </c>
      <c r="L308" s="19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19" t="s">
        <v>13</v>
      </c>
      <c r="G309" s="8" t="s">
        <v>371</v>
      </c>
      <c r="H309" s="6" t="s">
        <v>395</v>
      </c>
      <c r="J309" s="21" t="str">
        <f t="shared" si="10"/>
        <v>NtrAntaly308.PQTC.25.03.26</v>
      </c>
      <c r="L309" s="19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19" t="s">
        <v>13</v>
      </c>
      <c r="G310" s="8" t="s">
        <v>371</v>
      </c>
      <c r="H310" s="6" t="s">
        <v>395</v>
      </c>
      <c r="J310" s="21" t="str">
        <f t="shared" si="10"/>
        <v>NtrAntaly309.PQTC.25.03.26</v>
      </c>
      <c r="L310" s="19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19" t="s">
        <v>13</v>
      </c>
      <c r="G311" s="8" t="s">
        <v>371</v>
      </c>
      <c r="H311" s="6" t="s">
        <v>395</v>
      </c>
      <c r="J311" s="21" t="str">
        <f t="shared" si="10"/>
        <v>NtrAntaly310.PQTC.25.03.26</v>
      </c>
      <c r="L311" s="19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19" t="s">
        <v>13</v>
      </c>
      <c r="G312" s="8" t="s">
        <v>371</v>
      </c>
      <c r="H312" s="6" t="s">
        <v>395</v>
      </c>
      <c r="J312" s="21" t="str">
        <f t="shared" si="10"/>
        <v>NtrAntaly311.PQTC.25.03.26</v>
      </c>
      <c r="L312" s="19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19" t="s">
        <v>13</v>
      </c>
      <c r="G313" s="8" t="s">
        <v>371</v>
      </c>
      <c r="H313" s="6" t="s">
        <v>396</v>
      </c>
      <c r="J313" s="21" t="str">
        <f t="shared" si="10"/>
        <v>NtrAntaly312.PQTC.25.03.26</v>
      </c>
      <c r="L313" s="19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19" t="s">
        <v>13</v>
      </c>
      <c r="G314" s="8" t="s">
        <v>398</v>
      </c>
      <c r="H314" s="6" t="s">
        <v>399</v>
      </c>
      <c r="J314" s="21" t="str">
        <f t="shared" si="10"/>
        <v>CupDontSt313.PQTC.26.03.26</v>
      </c>
      <c r="L314" s="19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19" t="s">
        <v>13</v>
      </c>
      <c r="G315" s="8" t="s">
        <v>398</v>
      </c>
      <c r="H315" s="6" t="s">
        <v>400</v>
      </c>
      <c r="J315" s="21" t="str">
        <f t="shared" si="10"/>
        <v>CupDontSt314.PQTC.26.03.26</v>
      </c>
      <c r="L315" s="19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67" si="12">A316&amp;"."</f>
        <v>315.</v>
      </c>
      <c r="F316" s="19" t="s">
        <v>13</v>
      </c>
      <c r="G316" s="8" t="s">
        <v>398</v>
      </c>
      <c r="H316" s="6" t="s">
        <v>401</v>
      </c>
      <c r="J316" s="21" t="str">
        <f t="shared" si="10"/>
        <v>CupDontSt315.PQTC.26.03.26</v>
      </c>
      <c r="L316" s="19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19" t="s">
        <v>13</v>
      </c>
      <c r="G317" s="8" t="s">
        <v>398</v>
      </c>
      <c r="H317" s="6" t="s">
        <v>402</v>
      </c>
      <c r="J317" s="21" t="str">
        <f t="shared" si="10"/>
        <v>CupDontSt316.PQTC.26.03.26</v>
      </c>
      <c r="L317" s="19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19" t="s">
        <v>13</v>
      </c>
      <c r="G318" s="8" t="s">
        <v>398</v>
      </c>
      <c r="H318" s="6" t="s">
        <v>403</v>
      </c>
      <c r="J318" s="21" t="str">
        <f t="shared" si="10"/>
        <v>CupDontSt317.PQTC.26.03.26</v>
      </c>
      <c r="L318" s="19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19" t="s">
        <v>13</v>
      </c>
      <c r="G319" s="8" t="s">
        <v>398</v>
      </c>
      <c r="H319" s="6" t="s">
        <v>404</v>
      </c>
      <c r="J319" s="21" t="str">
        <f t="shared" si="10"/>
        <v>CupDontSt318.PQTC.26.03.26</v>
      </c>
      <c r="L319" s="19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19" t="s">
        <v>13</v>
      </c>
      <c r="G320" s="8" t="s">
        <v>398</v>
      </c>
      <c r="H320" s="6" t="s">
        <v>405</v>
      </c>
      <c r="J320" s="21" t="str">
        <f t="shared" si="10"/>
        <v>CupDontSt319.PQTC.26.03.26</v>
      </c>
      <c r="L320" s="19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19" t="s">
        <v>13</v>
      </c>
      <c r="G321" s="8" t="s">
        <v>398</v>
      </c>
      <c r="H321" s="6" t="s">
        <v>406</v>
      </c>
      <c r="J321" s="21" t="str">
        <f t="shared" si="10"/>
        <v>CupDontSt320.PQTC.26.03.26</v>
      </c>
      <c r="L321" s="19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19" t="s">
        <v>13</v>
      </c>
      <c r="G322" s="8" t="s">
        <v>398</v>
      </c>
      <c r="H322" s="6" t="s">
        <v>407</v>
      </c>
      <c r="J322" s="21" t="str">
        <f t="shared" ref="J322:J367" si="13">C322&amp;D322&amp;E322&amp;F322&amp;G322</f>
        <v>CupDontSt321.PQTC.26.03.26</v>
      </c>
      <c r="L322" s="19" t="str">
        <f t="shared" ref="L322:L367" si="14"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19" t="s">
        <v>13</v>
      </c>
      <c r="G323" s="8" t="s">
        <v>398</v>
      </c>
      <c r="H323" s="6" t="s">
        <v>408</v>
      </c>
      <c r="J323" s="21" t="str">
        <f t="shared" si="13"/>
        <v>CupDontSt322.PQTC.26.03.26</v>
      </c>
      <c r="L323" s="19" t="str">
        <f t="shared" si="14"/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19" t="s">
        <v>13</v>
      </c>
      <c r="G324" s="8" t="s">
        <v>398</v>
      </c>
      <c r="H324" s="6" t="s">
        <v>409</v>
      </c>
      <c r="J324" s="21" t="str">
        <f t="shared" si="13"/>
        <v>CupDontSt323.PQTC.26.03.26</v>
      </c>
      <c r="L324" s="19" t="str">
        <f t="shared" si="14"/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 t="shared" si="12"/>
        <v>324.</v>
      </c>
      <c r="F325" s="19" t="s">
        <v>13</v>
      </c>
      <c r="G325" s="8" t="s">
        <v>410</v>
      </c>
      <c r="H325" s="6" t="s">
        <v>395</v>
      </c>
      <c r="J325" s="21" t="str">
        <f t="shared" si="13"/>
        <v>NtrAntaly324.PQTC.27.03.26</v>
      </c>
      <c r="L325" s="19" t="str">
        <f t="shared" si="14"/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 t="shared" si="12"/>
        <v>325.</v>
      </c>
      <c r="F326" s="19" t="s">
        <v>13</v>
      </c>
      <c r="G326" s="8" t="s">
        <v>410</v>
      </c>
      <c r="H326" s="6" t="s">
        <v>395</v>
      </c>
      <c r="J326" s="21" t="str">
        <f t="shared" si="13"/>
        <v>NtrAntaly325.PQTC.27.03.26</v>
      </c>
      <c r="L326" s="19" t="str">
        <f t="shared" si="14"/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 t="shared" si="12"/>
        <v>326.</v>
      </c>
      <c r="F327" s="19" t="s">
        <v>13</v>
      </c>
      <c r="G327" s="8" t="s">
        <v>410</v>
      </c>
      <c r="H327" s="6" t="s">
        <v>395</v>
      </c>
      <c r="J327" s="21" t="str">
        <f t="shared" si="13"/>
        <v>NtrAntaly326.PQTC.27.03.26</v>
      </c>
      <c r="L327" s="19" t="str">
        <f t="shared" si="14"/>
        <v>326 NtrAntaly326.PQTC.27.03.26 Анталья</v>
      </c>
    </row>
    <row r="328" spans="1:12">
      <c r="A328" s="5">
        <v>327</v>
      </c>
      <c r="C328" s="6" t="s">
        <v>10</v>
      </c>
      <c r="D328" s="7" t="s">
        <v>338</v>
      </c>
      <c r="E328" s="6" t="str">
        <f t="shared" si="12"/>
        <v>327.</v>
      </c>
      <c r="F328" s="19" t="s">
        <v>13</v>
      </c>
      <c r="G328" s="8" t="s">
        <v>410</v>
      </c>
      <c r="H328" s="6" t="s">
        <v>395</v>
      </c>
      <c r="J328" s="21" t="str">
        <f t="shared" si="13"/>
        <v>NtrAntaly327.PQTC.27.03.26</v>
      </c>
      <c r="L328" s="19" t="str">
        <f t="shared" si="14"/>
        <v>327 NtrAntaly327.PQTC.27.03.26 Анталья</v>
      </c>
    </row>
    <row r="329" spans="1:12">
      <c r="A329" s="5">
        <v>328</v>
      </c>
      <c r="C329" s="6" t="s">
        <v>10</v>
      </c>
      <c r="D329" s="7" t="s">
        <v>338</v>
      </c>
      <c r="E329" s="6" t="str">
        <f t="shared" si="12"/>
        <v>328.</v>
      </c>
      <c r="F329" s="19" t="s">
        <v>13</v>
      </c>
      <c r="G329" s="8" t="s">
        <v>410</v>
      </c>
      <c r="H329" s="6" t="s">
        <v>411</v>
      </c>
      <c r="J329" s="21" t="str">
        <f t="shared" si="13"/>
        <v>NtrAntaly328.PQTC.27.03.26</v>
      </c>
      <c r="L329" s="19" t="str">
        <f t="shared" si="14"/>
        <v>328 NtrAntaly328.PQTC.27.03.26 Анталья горы</v>
      </c>
    </row>
    <row r="330" spans="1:12">
      <c r="A330" s="5">
        <v>329</v>
      </c>
      <c r="C330" s="6" t="s">
        <v>10</v>
      </c>
      <c r="D330" s="7" t="s">
        <v>338</v>
      </c>
      <c r="E330" s="6" t="str">
        <f t="shared" si="12"/>
        <v>329.</v>
      </c>
      <c r="F330" s="19" t="s">
        <v>13</v>
      </c>
      <c r="G330" s="8" t="s">
        <v>410</v>
      </c>
      <c r="H330" s="6" t="s">
        <v>412</v>
      </c>
      <c r="J330" s="21" t="str">
        <f t="shared" si="13"/>
        <v>NtrAntaly329.PQTC.27.03.26</v>
      </c>
      <c r="L330" s="19" t="str">
        <f t="shared" si="14"/>
        <v>329 NtrAntaly329.PQTC.27.03.26 Анталья канатная дорога</v>
      </c>
    </row>
    <row r="331" spans="1:12">
      <c r="A331" s="5">
        <v>330</v>
      </c>
      <c r="C331" s="6" t="s">
        <v>10</v>
      </c>
      <c r="D331" s="7" t="s">
        <v>338</v>
      </c>
      <c r="E331" s="6" t="str">
        <f t="shared" si="12"/>
        <v>330.</v>
      </c>
      <c r="F331" s="19" t="s">
        <v>13</v>
      </c>
      <c r="G331" s="8" t="s">
        <v>410</v>
      </c>
      <c r="H331" s="6" t="s">
        <v>412</v>
      </c>
      <c r="J331" s="21" t="str">
        <f t="shared" si="13"/>
        <v>NtrAntaly330.PQTC.27.03.26</v>
      </c>
      <c r="L331" s="19" t="str">
        <f t="shared" si="14"/>
        <v>330 NtrAntaly330.PQTC.27.03.26 Анталья канатная дорога</v>
      </c>
    </row>
    <row r="332" spans="1:12">
      <c r="A332" s="5">
        <v>331</v>
      </c>
      <c r="C332" s="6" t="s">
        <v>10</v>
      </c>
      <c r="D332" s="7" t="s">
        <v>338</v>
      </c>
      <c r="E332" s="6" t="str">
        <f t="shared" si="12"/>
        <v>331.</v>
      </c>
      <c r="F332" s="19" t="s">
        <v>13</v>
      </c>
      <c r="G332" s="8" t="s">
        <v>410</v>
      </c>
      <c r="H332" s="6" t="s">
        <v>413</v>
      </c>
      <c r="J332" s="21" t="str">
        <f t="shared" si="13"/>
        <v>NtrAntaly331.PQTC.27.03.26</v>
      </c>
      <c r="L332" s="19" t="str">
        <f t="shared" si="14"/>
        <v>331 NtrAntaly331.PQTC.27.03.26 Анталья амфитеатр Сиде</v>
      </c>
    </row>
    <row r="333" spans="1:12">
      <c r="A333" s="5">
        <v>332</v>
      </c>
      <c r="C333" s="6" t="s">
        <v>10</v>
      </c>
      <c r="D333" s="7" t="s">
        <v>338</v>
      </c>
      <c r="E333" s="6" t="str">
        <f t="shared" si="12"/>
        <v>332.</v>
      </c>
      <c r="F333" s="19" t="s">
        <v>13</v>
      </c>
      <c r="G333" s="8" t="s">
        <v>410</v>
      </c>
      <c r="H333" s="6" t="s">
        <v>360</v>
      </c>
      <c r="J333" s="21" t="str">
        <f t="shared" si="13"/>
        <v>NtrAntaly332.PQTC.27.03.26</v>
      </c>
      <c r="L333" s="19" t="str">
        <f t="shared" si="14"/>
        <v>332 NtrAntaly332.PQTC.27.03.26 Анталья Аспендос</v>
      </c>
    </row>
    <row r="334" spans="1:12">
      <c r="A334" s="5">
        <v>333</v>
      </c>
      <c r="C334" s="6" t="s">
        <v>10</v>
      </c>
      <c r="D334" s="7" t="s">
        <v>338</v>
      </c>
      <c r="E334" s="6" t="str">
        <f t="shared" si="12"/>
        <v>333.</v>
      </c>
      <c r="F334" s="19" t="s">
        <v>13</v>
      </c>
      <c r="G334" s="8" t="s">
        <v>410</v>
      </c>
      <c r="H334" s="6" t="s">
        <v>414</v>
      </c>
      <c r="J334" s="21" t="str">
        <f t="shared" si="13"/>
        <v>NtrAntaly333.PQTC.27.03.26</v>
      </c>
      <c r="L334" s="19" t="str">
        <f t="shared" si="14"/>
        <v>333 NtrAntaly333.PQTC.27.03.26 Анталья Дом-музей Ататюрка</v>
      </c>
    </row>
    <row r="335" spans="1:12">
      <c r="A335" s="5">
        <v>334</v>
      </c>
      <c r="C335" s="6" t="s">
        <v>10</v>
      </c>
      <c r="D335" s="7" t="s">
        <v>338</v>
      </c>
      <c r="E335" s="6" t="str">
        <f t="shared" si="12"/>
        <v>334.</v>
      </c>
      <c r="F335" s="19" t="s">
        <v>13</v>
      </c>
      <c r="G335" s="8" t="s">
        <v>410</v>
      </c>
      <c r="H335" s="6" t="s">
        <v>415</v>
      </c>
      <c r="J335" s="21" t="str">
        <f t="shared" si="13"/>
        <v>NtrAntaly334.PQTC.27.03.26</v>
      </c>
      <c r="L335" s="19" t="str">
        <f t="shared" si="14"/>
        <v>334 NtrAntaly334.PQTC.27.03.26 Анталья Археологический музей</v>
      </c>
    </row>
    <row r="336" spans="1:12">
      <c r="A336" s="5">
        <v>335</v>
      </c>
      <c r="C336" s="6" t="s">
        <v>10</v>
      </c>
      <c r="D336" s="7" t="s">
        <v>397</v>
      </c>
      <c r="E336" s="6" t="str">
        <f t="shared" si="12"/>
        <v>335.</v>
      </c>
      <c r="F336" s="19" t="s">
        <v>13</v>
      </c>
      <c r="G336" s="8" t="s">
        <v>410</v>
      </c>
      <c r="H336" s="6" t="s">
        <v>416</v>
      </c>
      <c r="J336" s="21" t="str">
        <f t="shared" si="13"/>
        <v>NtrDontSt335.PQTC.27.03.26</v>
      </c>
      <c r="L336" s="19" t="str">
        <f t="shared" si="14"/>
        <v>335 NtrDontSt335.PQTC.27.03.26 Dont_Starve_Уилсон</v>
      </c>
    </row>
    <row r="337" spans="1:12">
      <c r="A337" s="5">
        <v>336</v>
      </c>
      <c r="C337" s="6" t="s">
        <v>10</v>
      </c>
      <c r="D337" s="7" t="s">
        <v>397</v>
      </c>
      <c r="E337" s="6" t="str">
        <f t="shared" si="12"/>
        <v>336.</v>
      </c>
      <c r="F337" s="19" t="s">
        <v>13</v>
      </c>
      <c r="G337" s="8" t="s">
        <v>410</v>
      </c>
      <c r="H337" s="6" t="s">
        <v>417</v>
      </c>
      <c r="J337" s="21" t="str">
        <f t="shared" si="13"/>
        <v>NtrDontSt336.PQTC.27.03.26</v>
      </c>
      <c r="L337" s="19" t="str">
        <f t="shared" si="14"/>
        <v>336 NtrDontSt336.PQTC.27.03.26 Dont_Starve_Венди</v>
      </c>
    </row>
    <row r="338" spans="1:12">
      <c r="A338" s="5">
        <v>337</v>
      </c>
      <c r="C338" s="6" t="s">
        <v>10</v>
      </c>
      <c r="D338" s="7" t="s">
        <v>397</v>
      </c>
      <c r="E338" s="6" t="str">
        <f t="shared" si="12"/>
        <v>337.</v>
      </c>
      <c r="F338" s="19" t="s">
        <v>13</v>
      </c>
      <c r="G338" s="8" t="s">
        <v>410</v>
      </c>
      <c r="H338" s="6" t="s">
        <v>418</v>
      </c>
      <c r="J338" s="21" t="str">
        <f t="shared" si="13"/>
        <v>NtrDontSt337.PQTC.27.03.26</v>
      </c>
      <c r="L338" s="19" t="str">
        <f t="shared" si="14"/>
        <v>337 NtrDontSt337.PQTC.27.03.26 Dont_Starve_Венди_2</v>
      </c>
    </row>
    <row r="339" spans="1:12">
      <c r="A339" s="5">
        <v>338</v>
      </c>
      <c r="C339" s="6" t="s">
        <v>10</v>
      </c>
      <c r="D339" s="7" t="s">
        <v>397</v>
      </c>
      <c r="E339" s="6" t="str">
        <f t="shared" si="12"/>
        <v>338.</v>
      </c>
      <c r="F339" s="19" t="s">
        <v>13</v>
      </c>
      <c r="G339" s="8" t="s">
        <v>410</v>
      </c>
      <c r="H339" s="6" t="s">
        <v>419</v>
      </c>
      <c r="J339" s="21" t="str">
        <f t="shared" si="13"/>
        <v>NtrDontSt338.PQTC.27.03.26</v>
      </c>
      <c r="L339" s="19" t="str">
        <f t="shared" si="14"/>
        <v>338 NtrDontSt338.PQTC.27.03.26 Dont_Starve_ Уиллоу</v>
      </c>
    </row>
    <row r="340" spans="1:12">
      <c r="A340" s="5">
        <v>339</v>
      </c>
      <c r="C340" s="6" t="s">
        <v>10</v>
      </c>
      <c r="D340" s="7" t="s">
        <v>397</v>
      </c>
      <c r="E340" s="6" t="str">
        <f t="shared" si="12"/>
        <v>339.</v>
      </c>
      <c r="F340" s="19" t="s">
        <v>13</v>
      </c>
      <c r="G340" s="8" t="s">
        <v>410</v>
      </c>
      <c r="H340" s="6" t="s">
        <v>420</v>
      </c>
      <c r="J340" s="21" t="str">
        <f t="shared" si="13"/>
        <v>NtrDontSt339.PQTC.27.03.26</v>
      </c>
      <c r="L340" s="19" t="str">
        <f t="shared" si="14"/>
        <v>339 NtrDontSt339.PQTC.27.03.26 Dont_Starve_ Уиллоу_2</v>
      </c>
    </row>
    <row r="341" spans="1:12">
      <c r="A341" s="5">
        <v>340</v>
      </c>
      <c r="C341" s="6" t="s">
        <v>10</v>
      </c>
      <c r="D341" s="7" t="s">
        <v>397</v>
      </c>
      <c r="E341" s="6" t="str">
        <f t="shared" si="12"/>
        <v>340.</v>
      </c>
      <c r="F341" s="19" t="s">
        <v>13</v>
      </c>
      <c r="G341" s="8" t="s">
        <v>410</v>
      </c>
      <c r="H341" s="6" t="s">
        <v>421</v>
      </c>
      <c r="J341" s="21" t="str">
        <f t="shared" si="13"/>
        <v>NtrDontSt340.PQTC.27.03.26</v>
      </c>
      <c r="L341" s="19" t="str">
        <f t="shared" si="14"/>
        <v>340 NtrDontSt340.PQTC.27.03.26 Dont_Starve_ Уиллоу_3</v>
      </c>
    </row>
    <row r="342" spans="1:12">
      <c r="A342" s="5">
        <v>341</v>
      </c>
      <c r="C342" s="6" t="s">
        <v>10</v>
      </c>
      <c r="D342" s="7" t="s">
        <v>397</v>
      </c>
      <c r="E342" s="6" t="str">
        <f t="shared" si="12"/>
        <v>341.</v>
      </c>
      <c r="F342" s="19" t="s">
        <v>13</v>
      </c>
      <c r="G342" s="8" t="s">
        <v>410</v>
      </c>
      <c r="H342" s="6" t="s">
        <v>422</v>
      </c>
      <c r="J342" s="21" t="str">
        <f t="shared" si="13"/>
        <v>NtrDontSt341.PQTC.27.03.26</v>
      </c>
      <c r="L342" s="19" t="str">
        <f t="shared" si="14"/>
        <v>341 NtrDontSt341.PQTC.27.03.26 Dont_Starve_Вуди</v>
      </c>
    </row>
    <row r="343" spans="1:12">
      <c r="A343" s="5">
        <v>342</v>
      </c>
      <c r="C343" s="6" t="s">
        <v>10</v>
      </c>
      <c r="D343" s="7" t="s">
        <v>397</v>
      </c>
      <c r="E343" s="6" t="str">
        <f t="shared" si="12"/>
        <v>342.</v>
      </c>
      <c r="F343" s="19" t="s">
        <v>13</v>
      </c>
      <c r="G343" s="8" t="s">
        <v>410</v>
      </c>
      <c r="H343" s="6" t="s">
        <v>423</v>
      </c>
      <c r="J343" s="21" t="str">
        <f t="shared" si="13"/>
        <v>NtrDontSt342.PQTC.27.03.26</v>
      </c>
      <c r="L343" s="19" t="str">
        <f t="shared" si="14"/>
        <v>342 NtrDontSt342.PQTC.27.03.26 Dont_Starve_Персонажи</v>
      </c>
    </row>
    <row r="344" spans="1:12">
      <c r="A344" s="5">
        <v>343</v>
      </c>
      <c r="C344" s="6" t="s">
        <v>10</v>
      </c>
      <c r="D344" s="7" t="s">
        <v>397</v>
      </c>
      <c r="E344" s="6" t="str">
        <f t="shared" si="12"/>
        <v>343.</v>
      </c>
      <c r="F344" s="19" t="s">
        <v>13</v>
      </c>
      <c r="G344" s="8" t="s">
        <v>410</v>
      </c>
      <c r="H344" s="6" t="s">
        <v>424</v>
      </c>
      <c r="J344" s="21" t="str">
        <f t="shared" si="13"/>
        <v>NtrDontSt343.PQTC.27.03.26</v>
      </c>
      <c r="L344" s="19" t="str">
        <f t="shared" si="14"/>
        <v>343 NtrDontSt343.PQTC.27.03.26 Dont_Starve_Персонажи_2</v>
      </c>
    </row>
    <row r="345" spans="1:12">
      <c r="A345" s="5">
        <v>344</v>
      </c>
      <c r="C345" s="6" t="s">
        <v>10</v>
      </c>
      <c r="D345" s="7" t="s">
        <v>397</v>
      </c>
      <c r="E345" s="6" t="str">
        <f t="shared" si="12"/>
        <v>344.</v>
      </c>
      <c r="F345" s="19" t="s">
        <v>13</v>
      </c>
      <c r="G345" s="8" t="s">
        <v>410</v>
      </c>
      <c r="H345" s="6" t="s">
        <v>425</v>
      </c>
      <c r="J345" s="21" t="str">
        <f t="shared" si="13"/>
        <v>NtrDontSt344.PQTC.27.03.26</v>
      </c>
      <c r="L345" s="19" t="str">
        <f t="shared" si="14"/>
        <v>344 NtrDontSt344.PQTC.27.03.26 Dont_Starve_Циклоп-олень</v>
      </c>
    </row>
    <row r="346" spans="1:12">
      <c r="A346" s="5">
        <v>345</v>
      </c>
      <c r="C346" s="6" t="s">
        <v>40</v>
      </c>
      <c r="D346" s="7" t="s">
        <v>426</v>
      </c>
      <c r="E346" s="6" t="str">
        <f t="shared" si="12"/>
        <v>345.</v>
      </c>
      <c r="F346" s="19" t="s">
        <v>13</v>
      </c>
      <c r="G346" s="8" t="s">
        <v>427</v>
      </c>
      <c r="H346" s="6" t="s">
        <v>428</v>
      </c>
      <c r="J346" s="21" t="str">
        <f t="shared" si="13"/>
        <v>CupICARUS345.PQTC.28.03.26</v>
      </c>
      <c r="L346" s="19" t="str">
        <f t="shared" si="14"/>
        <v>345 CupICARUS345.PQTC.28.03.26 ICARUS_Обложка_1</v>
      </c>
    </row>
    <row r="347" spans="1:12">
      <c r="A347" s="5">
        <v>346</v>
      </c>
      <c r="C347" s="6" t="s">
        <v>40</v>
      </c>
      <c r="D347" s="7" t="s">
        <v>426</v>
      </c>
      <c r="E347" s="6" t="str">
        <f t="shared" si="12"/>
        <v>346.</v>
      </c>
      <c r="F347" s="19" t="s">
        <v>13</v>
      </c>
      <c r="G347" s="8" t="s">
        <v>427</v>
      </c>
      <c r="H347" s="6" t="s">
        <v>429</v>
      </c>
      <c r="J347" s="21" t="str">
        <f t="shared" si="13"/>
        <v>CupICARUS346.PQTC.28.03.26</v>
      </c>
      <c r="L347" s="19" t="str">
        <f t="shared" si="14"/>
        <v>346 CupICARUS346.PQTC.28.03.26 ICARUS_Обложка_2</v>
      </c>
    </row>
    <row r="348" spans="1:12">
      <c r="A348" s="5">
        <v>347</v>
      </c>
      <c r="C348" s="6" t="s">
        <v>40</v>
      </c>
      <c r="D348" s="7" t="s">
        <v>426</v>
      </c>
      <c r="E348" s="6" t="str">
        <f t="shared" si="12"/>
        <v>347.</v>
      </c>
      <c r="F348" s="19" t="s">
        <v>13</v>
      </c>
      <c r="G348" s="8" t="s">
        <v>427</v>
      </c>
      <c r="H348" s="6" t="s">
        <v>430</v>
      </c>
      <c r="J348" s="21" t="str">
        <f t="shared" si="13"/>
        <v>CupICARUS347.PQTC.28.03.26</v>
      </c>
      <c r="L348" s="19" t="str">
        <f t="shared" si="14"/>
        <v>347 CupICARUS347.PQTC.28.03.26 ICARUS_Обложка_3</v>
      </c>
    </row>
    <row r="349" spans="1:12">
      <c r="A349" s="5">
        <v>348</v>
      </c>
      <c r="C349" s="6" t="s">
        <v>40</v>
      </c>
      <c r="D349" s="7" t="s">
        <v>426</v>
      </c>
      <c r="E349" s="6" t="str">
        <f t="shared" si="12"/>
        <v>348.</v>
      </c>
      <c r="F349" s="19" t="s">
        <v>13</v>
      </c>
      <c r="G349" s="8" t="s">
        <v>427</v>
      </c>
      <c r="H349" s="6" t="s">
        <v>431</v>
      </c>
      <c r="J349" s="21" t="str">
        <f t="shared" si="13"/>
        <v>CupICARUS348.PQTC.28.03.26</v>
      </c>
      <c r="L349" s="19" t="str">
        <f t="shared" si="14"/>
        <v>348 CupICARUS348.PQTC.28.03.26 ICARUS_Обложка_4</v>
      </c>
    </row>
    <row r="350" spans="1:12">
      <c r="A350" s="5">
        <v>349</v>
      </c>
      <c r="C350" s="6" t="s">
        <v>40</v>
      </c>
      <c r="D350" s="7" t="s">
        <v>426</v>
      </c>
      <c r="E350" s="6" t="str">
        <f t="shared" si="12"/>
        <v>349.</v>
      </c>
      <c r="F350" s="19" t="s">
        <v>13</v>
      </c>
      <c r="G350" s="8" t="s">
        <v>427</v>
      </c>
      <c r="H350" s="6" t="s">
        <v>432</v>
      </c>
      <c r="J350" s="21" t="str">
        <f t="shared" si="13"/>
        <v>CupICARUS349.PQTC.28.03.26</v>
      </c>
      <c r="L350" s="19" t="str">
        <f t="shared" si="14"/>
        <v>349 CupICARUS349.PQTC.28.03.26 ICARUS_Обложка_5</v>
      </c>
    </row>
    <row r="351" spans="1:12">
      <c r="A351" s="5">
        <v>350</v>
      </c>
      <c r="C351" s="6" t="s">
        <v>40</v>
      </c>
      <c r="D351" s="7" t="s">
        <v>426</v>
      </c>
      <c r="E351" s="6" t="str">
        <f t="shared" si="12"/>
        <v>350.</v>
      </c>
      <c r="F351" s="19" t="s">
        <v>13</v>
      </c>
      <c r="G351" s="8" t="s">
        <v>427</v>
      </c>
      <c r="H351" s="6" t="s">
        <v>433</v>
      </c>
      <c r="J351" s="21" t="str">
        <f t="shared" si="13"/>
        <v>CupICARUS350.PQTC.28.03.26</v>
      </c>
      <c r="L351" s="19" t="str">
        <f t="shared" si="14"/>
        <v>350 CupICARUS350.PQTC.28.03.26 ICARUS_Обложка_6</v>
      </c>
    </row>
    <row r="352" spans="1:12">
      <c r="A352" s="5">
        <v>351</v>
      </c>
      <c r="C352" s="6" t="s">
        <v>40</v>
      </c>
      <c r="D352" s="7" t="s">
        <v>426</v>
      </c>
      <c r="E352" s="6" t="str">
        <f t="shared" si="12"/>
        <v>351.</v>
      </c>
      <c r="F352" s="19" t="s">
        <v>13</v>
      </c>
      <c r="G352" s="8" t="s">
        <v>427</v>
      </c>
      <c r="H352" s="6" t="s">
        <v>434</v>
      </c>
      <c r="J352" s="21" t="str">
        <f t="shared" si="13"/>
        <v>CupICARUS351.PQTC.28.03.26</v>
      </c>
      <c r="L352" s="19" t="str">
        <f t="shared" si="14"/>
        <v>351 CupICARUS351.PQTC.28.03.26 ICARUS_Обложка_7</v>
      </c>
    </row>
    <row r="353" spans="1:12">
      <c r="A353" s="5">
        <v>352</v>
      </c>
      <c r="C353" s="6" t="s">
        <v>40</v>
      </c>
      <c r="D353" s="7" t="s">
        <v>426</v>
      </c>
      <c r="E353" s="6" t="str">
        <f t="shared" si="12"/>
        <v>352.</v>
      </c>
      <c r="F353" s="19" t="s">
        <v>13</v>
      </c>
      <c r="G353" s="8" t="s">
        <v>427</v>
      </c>
      <c r="H353" s="6" t="s">
        <v>435</v>
      </c>
      <c r="J353" s="21" t="str">
        <f t="shared" si="13"/>
        <v>CupICARUS352.PQTC.28.03.26</v>
      </c>
      <c r="L353" s="19" t="str">
        <f t="shared" si="14"/>
        <v>352 CupICARUS352.PQTC.28.03.26 ICARUS_Обложка_8</v>
      </c>
    </row>
    <row r="354" spans="1:12">
      <c r="A354" s="5">
        <v>353</v>
      </c>
      <c r="C354" s="6" t="s">
        <v>40</v>
      </c>
      <c r="D354" s="7" t="s">
        <v>426</v>
      </c>
      <c r="E354" s="6" t="str">
        <f t="shared" si="12"/>
        <v>353.</v>
      </c>
      <c r="F354" s="19" t="s">
        <v>13</v>
      </c>
      <c r="G354" s="8" t="s">
        <v>427</v>
      </c>
      <c r="H354" s="6" t="s">
        <v>436</v>
      </c>
      <c r="J354" s="21" t="str">
        <f t="shared" si="13"/>
        <v>CupICARUS353.PQTC.28.03.26</v>
      </c>
      <c r="L354" s="19" t="str">
        <f t="shared" si="14"/>
        <v>353 CupICARUS353.PQTC.28.03.26 ICARUS_Обложка_9</v>
      </c>
    </row>
    <row r="355" spans="1:12">
      <c r="A355" s="5">
        <v>354</v>
      </c>
      <c r="C355" s="6" t="s">
        <v>40</v>
      </c>
      <c r="D355" s="7" t="s">
        <v>426</v>
      </c>
      <c r="E355" s="6" t="str">
        <f t="shared" si="12"/>
        <v>354.</v>
      </c>
      <c r="F355" s="19" t="s">
        <v>13</v>
      </c>
      <c r="G355" s="8" t="s">
        <v>427</v>
      </c>
      <c r="H355" s="6" t="s">
        <v>437</v>
      </c>
      <c r="J355" s="21" t="str">
        <f t="shared" si="13"/>
        <v>CupICARUS354.PQTC.28.03.26</v>
      </c>
      <c r="L355" s="19" t="str">
        <f t="shared" si="14"/>
        <v>354 CupICARUS354.PQTC.28.03.26 ICARUS_Обложка_10</v>
      </c>
    </row>
    <row r="356" spans="1:12">
      <c r="A356" s="5">
        <v>355</v>
      </c>
      <c r="C356" s="6" t="s">
        <v>40</v>
      </c>
      <c r="D356" s="7" t="s">
        <v>426</v>
      </c>
      <c r="E356" s="6" t="str">
        <f t="shared" si="12"/>
        <v>355.</v>
      </c>
      <c r="F356" s="19" t="s">
        <v>13</v>
      </c>
      <c r="G356" s="8" t="s">
        <v>438</v>
      </c>
      <c r="H356" s="6" t="s">
        <v>439</v>
      </c>
      <c r="J356" s="21" t="str">
        <f t="shared" si="13"/>
        <v>CupICARUS355.PQTC.29.03.26</v>
      </c>
      <c r="L356" s="19" t="str">
        <f t="shared" si="14"/>
        <v>355 CupICARUS355.PQTC.29.03.26 ICARUS_Сердце</v>
      </c>
    </row>
    <row r="357" spans="1:12">
      <c r="A357" s="5">
        <v>356</v>
      </c>
      <c r="C357" s="6" t="s">
        <v>40</v>
      </c>
      <c r="D357" s="7" t="s">
        <v>426</v>
      </c>
      <c r="E357" s="6" t="str">
        <f t="shared" si="12"/>
        <v>356.</v>
      </c>
      <c r="F357" s="19" t="s">
        <v>13</v>
      </c>
      <c r="G357" s="8" t="s">
        <v>438</v>
      </c>
      <c r="H357" s="6" t="s">
        <v>440</v>
      </c>
      <c r="J357" s="21" t="str">
        <f t="shared" si="13"/>
        <v>CupICARUS356.PQTC.29.03.26</v>
      </c>
      <c r="L357" s="19" t="str">
        <f t="shared" si="14"/>
        <v>356 CupICARUS356.PQTC.29.03.26 ICARUS_Медведь</v>
      </c>
    </row>
    <row r="358" spans="1:12">
      <c r="A358" s="5">
        <v>357</v>
      </c>
      <c r="C358" s="6" t="s">
        <v>40</v>
      </c>
      <c r="D358" s="7" t="s">
        <v>426</v>
      </c>
      <c r="E358" s="6" t="str">
        <f t="shared" si="12"/>
        <v>357.</v>
      </c>
      <c r="F358" s="19" t="s">
        <v>13</v>
      </c>
      <c r="G358" s="8" t="s">
        <v>438</v>
      </c>
      <c r="H358" s="6" t="s">
        <v>441</v>
      </c>
      <c r="J358" s="21" t="str">
        <f t="shared" si="13"/>
        <v>CupICARUS357.PQTC.29.03.26</v>
      </c>
      <c r="L358" s="19" t="str">
        <f t="shared" si="14"/>
        <v>357 CupICARUS357.PQTC.29.03.26 ICARUS_Астронавты</v>
      </c>
    </row>
    <row r="359" spans="1:12">
      <c r="A359" s="5">
        <v>358</v>
      </c>
      <c r="C359" s="6" t="s">
        <v>40</v>
      </c>
      <c r="D359" s="7" t="s">
        <v>426</v>
      </c>
      <c r="E359" s="6" t="str">
        <f t="shared" si="12"/>
        <v>358.</v>
      </c>
      <c r="F359" s="19" t="s">
        <v>13</v>
      </c>
      <c r="G359" s="8" t="s">
        <v>438</v>
      </c>
      <c r="H359" s="6" t="s">
        <v>442</v>
      </c>
      <c r="J359" s="21" t="str">
        <f t="shared" si="13"/>
        <v>CupICARUS358.PQTC.29.03.26</v>
      </c>
      <c r="L359" s="19" t="str">
        <f t="shared" si="14"/>
        <v>358 CupICARUS358.PQTC.29.03.26 ICARUS_Оазис</v>
      </c>
    </row>
    <row r="360" spans="1:12">
      <c r="A360" s="5">
        <v>359</v>
      </c>
      <c r="C360" s="6" t="s">
        <v>40</v>
      </c>
      <c r="D360" s="7" t="s">
        <v>426</v>
      </c>
      <c r="E360" s="6" t="str">
        <f t="shared" si="12"/>
        <v>359.</v>
      </c>
      <c r="F360" s="19" t="s">
        <v>13</v>
      </c>
      <c r="G360" s="8" t="s">
        <v>438</v>
      </c>
      <c r="H360" s="6" t="s">
        <v>443</v>
      </c>
      <c r="J360" s="21" t="str">
        <f t="shared" si="13"/>
        <v>CupICARUS359.PQTC.29.03.26</v>
      </c>
      <c r="L360" s="19" t="str">
        <f t="shared" si="14"/>
        <v>359 CupICARUS359.PQTC.29.03.26 ICARUS_Пикник</v>
      </c>
    </row>
    <row r="361" spans="1:12">
      <c r="A361" s="5">
        <v>360</v>
      </c>
      <c r="C361" s="6" t="s">
        <v>40</v>
      </c>
      <c r="D361" s="7" t="s">
        <v>426</v>
      </c>
      <c r="E361" s="6" t="str">
        <f t="shared" si="12"/>
        <v>360.</v>
      </c>
      <c r="F361" s="19" t="s">
        <v>13</v>
      </c>
      <c r="G361" s="8" t="s">
        <v>438</v>
      </c>
      <c r="H361" s="6" t="s">
        <v>444</v>
      </c>
      <c r="J361" s="21" t="str">
        <f t="shared" si="13"/>
        <v>CupICARUS360.PQTC.29.03.26</v>
      </c>
      <c r="L361" s="19" t="str">
        <f t="shared" si="14"/>
        <v>360 CupICARUS360.PQTC.29.03.26 ICARUS_Верстак</v>
      </c>
    </row>
    <row r="362" spans="1:12">
      <c r="A362" s="5">
        <v>361</v>
      </c>
      <c r="C362" s="6" t="s">
        <v>40</v>
      </c>
      <c r="D362" s="7" t="s">
        <v>426</v>
      </c>
      <c r="E362" s="6" t="str">
        <f t="shared" si="12"/>
        <v>361.</v>
      </c>
      <c r="F362" s="19" t="s">
        <v>13</v>
      </c>
      <c r="G362" s="8" t="s">
        <v>438</v>
      </c>
      <c r="H362" s="6" t="s">
        <v>445</v>
      </c>
      <c r="J362" s="21" t="str">
        <f t="shared" si="13"/>
        <v>CupICARUS361.PQTC.29.03.26</v>
      </c>
      <c r="L362" s="19" t="str">
        <f t="shared" si="14"/>
        <v>361 CupICARUS361.PQTC.29.03.26 ICARUS_Грибы</v>
      </c>
    </row>
    <row r="363" spans="1:12">
      <c r="A363" s="5">
        <v>362</v>
      </c>
      <c r="C363" s="6" t="s">
        <v>40</v>
      </c>
      <c r="D363" s="7" t="s">
        <v>426</v>
      </c>
      <c r="E363" s="6" t="str">
        <f t="shared" si="12"/>
        <v>362.</v>
      </c>
      <c r="F363" s="19" t="s">
        <v>13</v>
      </c>
      <c r="G363" s="8" t="s">
        <v>438</v>
      </c>
      <c r="H363" s="6" t="s">
        <v>446</v>
      </c>
      <c r="J363" s="21" t="str">
        <f t="shared" si="13"/>
        <v>CupICARUS362.PQTC.29.03.26</v>
      </c>
      <c r="L363" s="19" t="str">
        <f t="shared" si="14"/>
        <v>362 CupICARUS362.PQTC.29.03.26 ICARUS_Равнины</v>
      </c>
    </row>
    <row r="364" spans="1:12">
      <c r="A364" s="5">
        <v>363</v>
      </c>
      <c r="C364" s="6" t="s">
        <v>40</v>
      </c>
      <c r="D364" s="7" t="s">
        <v>426</v>
      </c>
      <c r="E364" s="6" t="str">
        <f t="shared" si="12"/>
        <v>363.</v>
      </c>
      <c r="F364" s="19" t="s">
        <v>13</v>
      </c>
      <c r="G364" s="8" t="s">
        <v>438</v>
      </c>
      <c r="H364" s="6" t="s">
        <v>447</v>
      </c>
      <c r="J364" s="21" t="str">
        <f t="shared" si="13"/>
        <v>CupICARUS363.PQTC.29.03.26</v>
      </c>
      <c r="L364" s="19" t="str">
        <f t="shared" si="14"/>
        <v>363 CupICARUS363.PQTC.29.03.26 ICARUS_Лава</v>
      </c>
    </row>
    <row r="365" spans="1:12">
      <c r="A365" s="5">
        <v>364</v>
      </c>
      <c r="C365" s="6" t="s">
        <v>40</v>
      </c>
      <c r="D365" s="7" t="s">
        <v>426</v>
      </c>
      <c r="E365" s="6" t="str">
        <f t="shared" si="12"/>
        <v>364.</v>
      </c>
      <c r="F365" s="19" t="s">
        <v>13</v>
      </c>
      <c r="G365" s="8" t="s">
        <v>438</v>
      </c>
      <c r="H365" s="6" t="s">
        <v>448</v>
      </c>
      <c r="J365" s="21" t="str">
        <f t="shared" si="13"/>
        <v>CupICARUS364.PQTC.29.03.26</v>
      </c>
      <c r="L365" s="19" t="str">
        <f t="shared" si="14"/>
        <v>364 CupICARUS364.PQTC.29.03.26 ICARUS_Лес</v>
      </c>
    </row>
    <row r="366" spans="1:12">
      <c r="A366" s="5">
        <v>365</v>
      </c>
      <c r="C366" s="6" t="s">
        <v>40</v>
      </c>
      <c r="D366" s="7" t="s">
        <v>426</v>
      </c>
      <c r="E366" s="6" t="str">
        <f t="shared" si="12"/>
        <v>365.</v>
      </c>
      <c r="F366" s="19" t="s">
        <v>13</v>
      </c>
      <c r="G366" s="8" t="s">
        <v>438</v>
      </c>
      <c r="H366" s="6" t="s">
        <v>449</v>
      </c>
      <c r="J366" s="21" t="str">
        <f t="shared" si="13"/>
        <v>CupICARUS365.PQTC.29.03.26</v>
      </c>
      <c r="L366" s="19" t="str">
        <f t="shared" si="14"/>
        <v>365 CupICARUS365.PQTC.29.03.26 ICARUS_Фауна</v>
      </c>
    </row>
    <row r="367" spans="1:12">
      <c r="A367" s="5">
        <v>366</v>
      </c>
      <c r="C367" s="6" t="s">
        <v>40</v>
      </c>
      <c r="D367" s="7" t="s">
        <v>426</v>
      </c>
      <c r="E367" s="6" t="str">
        <f t="shared" si="12"/>
        <v>366.</v>
      </c>
      <c r="F367" s="19" t="s">
        <v>13</v>
      </c>
      <c r="G367" s="8" t="s">
        <v>438</v>
      </c>
      <c r="H367" s="6" t="s">
        <v>450</v>
      </c>
      <c r="J367" s="21" t="str">
        <f t="shared" si="13"/>
        <v>CupICARUS366.PQTC.29.03.26</v>
      </c>
      <c r="L367" s="19" t="str">
        <f t="shared" si="14"/>
        <v>366 CupICARUS366.PQTC.29.03.26 ICARUS_Горы</v>
      </c>
    </row>
    <row r="368" spans="1:12">
      <c r="A368" s="5">
        <v>367</v>
      </c>
      <c r="C368" s="6" t="s">
        <v>10</v>
      </c>
      <c r="D368" s="7" t="s">
        <v>426</v>
      </c>
      <c r="E368" s="6" t="str">
        <f>A368&amp;"."</f>
        <v>367.</v>
      </c>
      <c r="F368" s="19" t="s">
        <v>13</v>
      </c>
      <c r="G368" s="8" t="s">
        <v>451</v>
      </c>
      <c r="H368" s="23" t="s">
        <v>439</v>
      </c>
      <c r="J368" s="21" t="str">
        <f>C368&amp;D368&amp;E368&amp;F368&amp;G368</f>
        <v>NtrICARUS367.PQTC.30.03.26</v>
      </c>
      <c r="L368" s="19" t="str">
        <f>A368&amp;" "&amp;C368&amp;D368&amp;E368&amp;F368&amp;G368&amp;" "&amp;H368</f>
        <v>367 NtrICARUS367.PQTC.30.03.26 ICARUS_Сердце</v>
      </c>
    </row>
    <row r="369" spans="1:12">
      <c r="A369" s="5">
        <v>368</v>
      </c>
      <c r="C369" s="6" t="s">
        <v>10</v>
      </c>
      <c r="D369" s="7" t="s">
        <v>426</v>
      </c>
      <c r="E369" s="6" t="str">
        <f>A369&amp;"."</f>
        <v>368.</v>
      </c>
      <c r="F369" s="19" t="s">
        <v>13</v>
      </c>
      <c r="G369" s="8" t="s">
        <v>451</v>
      </c>
      <c r="H369" s="23" t="s">
        <v>440</v>
      </c>
      <c r="J369" s="21" t="str">
        <f>C369&amp;D369&amp;E369&amp;F369&amp;G369</f>
        <v>NtrICARUS368.PQTC.30.03.26</v>
      </c>
      <c r="L369" s="19" t="str">
        <f>A369&amp;" "&amp;C369&amp;D369&amp;E369&amp;F369&amp;G369&amp;" "&amp;H369</f>
        <v>368 NtrICARUS368.PQTC.30.03.26 ICARUS_Медведь</v>
      </c>
    </row>
    <row r="370" spans="1:12">
      <c r="A370" s="5">
        <v>369</v>
      </c>
      <c r="C370" s="6" t="s">
        <v>10</v>
      </c>
      <c r="D370" s="7" t="s">
        <v>426</v>
      </c>
      <c r="E370" s="6" t="str">
        <f>A370&amp;"."</f>
        <v>369.</v>
      </c>
      <c r="F370" s="19" t="s">
        <v>13</v>
      </c>
      <c r="G370" s="8" t="s">
        <v>451</v>
      </c>
      <c r="H370" s="23" t="s">
        <v>441</v>
      </c>
      <c r="J370" s="21" t="str">
        <f>C370&amp;D370&amp;E370&amp;F370&amp;G370</f>
        <v>NtrICARUS369.PQTC.30.03.26</v>
      </c>
      <c r="L370" s="19" t="str">
        <f>A370&amp;" "&amp;C370&amp;D370&amp;E370&amp;F370&amp;G370&amp;" "&amp;H370</f>
        <v>369 NtrICARUS369.PQTC.30.03.26 ICARUS_Астронавты</v>
      </c>
    </row>
    <row r="371" spans="1:12">
      <c r="A371" s="5">
        <v>370</v>
      </c>
      <c r="C371" s="6" t="s">
        <v>10</v>
      </c>
      <c r="D371" s="7" t="s">
        <v>426</v>
      </c>
      <c r="E371" s="6" t="str">
        <f>A371&amp;"."</f>
        <v>370.</v>
      </c>
      <c r="F371" s="19" t="s">
        <v>13</v>
      </c>
      <c r="G371" s="8" t="s">
        <v>451</v>
      </c>
      <c r="H371" s="23" t="s">
        <v>452</v>
      </c>
      <c r="J371" s="21" t="str">
        <f>C371&amp;D371&amp;E371&amp;F371&amp;G371</f>
        <v>NtrICARUS370.PQTC.30.03.26</v>
      </c>
      <c r="L371" s="19" t="str">
        <f>A371&amp;" "&amp;C371&amp;D371&amp;E371&amp;F371&amp;G371&amp;" "&amp;H371</f>
        <v>370 NtrICARUS370.PQTC.30.03.26 ICARUS_Лагерь</v>
      </c>
    </row>
    <row r="372" spans="1:12">
      <c r="A372" s="5">
        <v>371</v>
      </c>
      <c r="C372" s="6" t="s">
        <v>10</v>
      </c>
      <c r="D372" s="7" t="s">
        <v>426</v>
      </c>
      <c r="E372" s="6" t="str">
        <f>A372&amp;"."</f>
        <v>371.</v>
      </c>
      <c r="F372" s="19" t="s">
        <v>13</v>
      </c>
      <c r="G372" s="8" t="s">
        <v>451</v>
      </c>
      <c r="H372" s="24" t="s">
        <v>444</v>
      </c>
      <c r="J372" s="21" t="str">
        <f>C372&amp;D372&amp;E372&amp;F372&amp;G372</f>
        <v>NtrICARUS371.PQTC.30.03.26</v>
      </c>
      <c r="L372" s="19" t="str">
        <f>A372&amp;" "&amp;C372&amp;D372&amp;E372&amp;F372&amp;G372&amp;" "&amp;H372</f>
        <v>371 NtrICARUS371.PQTC.30.03.26 ICARUS_Верстак</v>
      </c>
    </row>
    <row r="373" spans="1:12">
      <c r="A373" s="5">
        <v>372</v>
      </c>
      <c r="C373" s="6" t="s">
        <v>10</v>
      </c>
      <c r="D373" s="7" t="s">
        <v>426</v>
      </c>
      <c r="E373" s="6" t="str">
        <f>A373&amp;"."</f>
        <v>372.</v>
      </c>
      <c r="F373" s="19" t="s">
        <v>13</v>
      </c>
      <c r="G373" s="8" t="s">
        <v>451</v>
      </c>
      <c r="H373" s="24" t="s">
        <v>453</v>
      </c>
      <c r="J373" s="21" t="str">
        <f>C373&amp;D373&amp;E373&amp;F373&amp;G373</f>
        <v>NtrICARUS372.PQTC.30.03.26</v>
      </c>
      <c r="L373" s="19" t="str">
        <f>A373&amp;" "&amp;C373&amp;D373&amp;E373&amp;F373&amp;G373&amp;" "&amp;H373</f>
        <v>372 NtrICARUS372.PQTC.30.03.26 ICARUS_Космос</v>
      </c>
    </row>
    <row r="374" spans="1:12">
      <c r="A374" s="5">
        <v>373</v>
      </c>
      <c r="C374" s="6" t="s">
        <v>10</v>
      </c>
      <c r="D374" s="7" t="s">
        <v>426</v>
      </c>
      <c r="E374" s="6" t="str">
        <f>A374&amp;"."</f>
        <v>373.</v>
      </c>
      <c r="F374" s="19" t="s">
        <v>13</v>
      </c>
      <c r="G374" s="8" t="s">
        <v>451</v>
      </c>
      <c r="H374" s="24" t="s">
        <v>454</v>
      </c>
      <c r="J374" s="21" t="str">
        <f>C374&amp;D374&amp;E374&amp;F374&amp;G374</f>
        <v>NtrICARUS373.PQTC.30.03.26</v>
      </c>
      <c r="L374" s="19" t="str">
        <f>A374&amp;" "&amp;C374&amp;D374&amp;E374&amp;F374&amp;G374&amp;" "&amp;H374</f>
        <v>373 NtrICARUS373.PQTC.30.03.26 ICARUS_Олень</v>
      </c>
    </row>
    <row r="375" spans="1:12">
      <c r="A375" s="5">
        <v>374</v>
      </c>
      <c r="C375" s="6" t="s">
        <v>10</v>
      </c>
      <c r="D375" s="7" t="s">
        <v>426</v>
      </c>
      <c r="E375" s="6" t="str">
        <f>A375&amp;"."</f>
        <v>374.</v>
      </c>
      <c r="F375" s="19" t="s">
        <v>13</v>
      </c>
      <c r="G375" s="8" t="s">
        <v>451</v>
      </c>
      <c r="H375" s="24" t="s">
        <v>445</v>
      </c>
      <c r="J375" s="21" t="str">
        <f>C375&amp;D375&amp;E375&amp;F375&amp;G375</f>
        <v>NtrICARUS374.PQTC.30.03.26</v>
      </c>
      <c r="L375" s="19" t="str">
        <f>A375&amp;" "&amp;C375&amp;D375&amp;E375&amp;F375&amp;G375&amp;" "&amp;H375</f>
        <v>374 NtrICARUS374.PQTC.30.03.26 ICARUS_Грибы</v>
      </c>
    </row>
    <row r="376" spans="1:12">
      <c r="A376" s="5">
        <v>375</v>
      </c>
      <c r="C376" s="6" t="s">
        <v>10</v>
      </c>
      <c r="D376" s="7" t="s">
        <v>426</v>
      </c>
      <c r="E376" s="6" t="str">
        <f>A376&amp;"."</f>
        <v>375.</v>
      </c>
      <c r="F376" s="19" t="s">
        <v>13</v>
      </c>
      <c r="G376" s="8" t="s">
        <v>451</v>
      </c>
      <c r="H376" s="24" t="s">
        <v>442</v>
      </c>
      <c r="J376" s="21" t="str">
        <f>C376&amp;D376&amp;E376&amp;F376&amp;G376</f>
        <v>NtrICARUS375.PQTC.30.03.26</v>
      </c>
      <c r="L376" s="19" t="str">
        <f>A376&amp;" "&amp;C376&amp;D376&amp;E376&amp;F376&amp;G376&amp;" "&amp;H376</f>
        <v>375 NtrICARUS375.PQTC.30.03.26 ICARUS_Оазис</v>
      </c>
    </row>
    <row r="377" spans="1:12">
      <c r="A377" s="5">
        <v>376</v>
      </c>
      <c r="C377" s="6" t="s">
        <v>10</v>
      </c>
      <c r="D377" s="7" t="s">
        <v>426</v>
      </c>
      <c r="E377" s="6" t="str">
        <f>A377&amp;"."</f>
        <v>376.</v>
      </c>
      <c r="F377" s="19" t="s">
        <v>13</v>
      </c>
      <c r="G377" s="8" t="s">
        <v>451</v>
      </c>
      <c r="H377" s="24" t="s">
        <v>455</v>
      </c>
      <c r="J377" s="21" t="str">
        <f>C377&amp;D377&amp;E377&amp;F377&amp;G377</f>
        <v>NtrICARUS376.PQTC.30.03.26</v>
      </c>
      <c r="L377" s="19" t="str">
        <f>A377&amp;" "&amp;C377&amp;D377&amp;E377&amp;F377&amp;G377&amp;" "&amp;H377</f>
        <v>376 NtrICARUS376.PQTC.30.03.26 ICARUS_Луга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456</v>
      </c>
      <c r="B1" s="2" t="s">
        <v>457</v>
      </c>
    </row>
    <row r="2" ht="16.35" spans="1:2">
      <c r="A2" s="3" t="s">
        <v>458</v>
      </c>
      <c r="B2" s="3" t="s">
        <v>459</v>
      </c>
    </row>
    <row r="3" ht="16.35" spans="1:2">
      <c r="A3" s="4" t="s">
        <v>460</v>
      </c>
      <c r="B3" s="4" t="s">
        <v>461</v>
      </c>
    </row>
    <row r="4" ht="16.35" spans="1:2">
      <c r="A4" s="4" t="s">
        <v>462</v>
      </c>
      <c r="B4" s="4" t="s">
        <v>463</v>
      </c>
    </row>
    <row r="5" ht="31.95" spans="1:2">
      <c r="A5" s="4" t="s">
        <v>464</v>
      </c>
      <c r="B5" s="4" t="s">
        <v>465</v>
      </c>
    </row>
    <row r="6" ht="16.35" spans="1:2">
      <c r="A6" s="3" t="s">
        <v>466</v>
      </c>
      <c r="B6" s="3" t="s">
        <v>467</v>
      </c>
    </row>
    <row r="7" ht="16.35" spans="1:2">
      <c r="A7" s="4" t="s">
        <v>468</v>
      </c>
      <c r="B7" s="4" t="s">
        <v>469</v>
      </c>
    </row>
    <row r="8" ht="16.35" spans="1:2">
      <c r="A8" s="4" t="s">
        <v>470</v>
      </c>
      <c r="B8" s="4" t="s">
        <v>471</v>
      </c>
    </row>
    <row r="9" ht="16.35" spans="1:2">
      <c r="A9" s="4" t="s">
        <v>472</v>
      </c>
      <c r="B9" s="4" t="s">
        <v>473</v>
      </c>
    </row>
    <row r="10" ht="16.35" spans="1:2">
      <c r="A10" s="4" t="s">
        <v>474</v>
      </c>
      <c r="B10" s="4" t="s">
        <v>475</v>
      </c>
    </row>
    <row r="11" ht="16.35" spans="1:2">
      <c r="A11" s="4" t="s">
        <v>476</v>
      </c>
      <c r="B11" s="4" t="s">
        <v>477</v>
      </c>
    </row>
    <row r="12" ht="16.35" spans="1:2">
      <c r="A12" s="4" t="s">
        <v>478</v>
      </c>
      <c r="B12" s="4" t="s">
        <v>479</v>
      </c>
    </row>
    <row r="13" ht="16.35" spans="1:2">
      <c r="A13" s="4" t="s">
        <v>480</v>
      </c>
      <c r="B13" s="4" t="s">
        <v>481</v>
      </c>
    </row>
    <row r="14" ht="16.35" spans="1:2">
      <c r="A14" s="4" t="s">
        <v>482</v>
      </c>
      <c r="B14" s="4" t="s">
        <v>483</v>
      </c>
    </row>
    <row r="15" ht="16.35" spans="1:2">
      <c r="A15" s="3" t="s">
        <v>484</v>
      </c>
      <c r="B15" s="3" t="s">
        <v>485</v>
      </c>
    </row>
    <row r="16" ht="16.35" spans="1:2">
      <c r="A16" s="4" t="s">
        <v>486</v>
      </c>
      <c r="B16" s="4" t="s">
        <v>19</v>
      </c>
    </row>
    <row r="17" ht="16.35" spans="1:2">
      <c r="A17" s="4" t="s">
        <v>487</v>
      </c>
      <c r="B17" s="4" t="s">
        <v>488</v>
      </c>
    </row>
    <row r="18" ht="16.35" spans="1:2">
      <c r="A18" s="3" t="s">
        <v>489</v>
      </c>
      <c r="B18" s="3" t="s">
        <v>490</v>
      </c>
    </row>
    <row r="19" ht="16.35" spans="1:2">
      <c r="A19" s="4" t="s">
        <v>491</v>
      </c>
      <c r="B19" s="4" t="s">
        <v>246</v>
      </c>
    </row>
    <row r="20" ht="16.35" spans="1:2">
      <c r="A20" s="4" t="s">
        <v>492</v>
      </c>
      <c r="B20" s="4" t="s">
        <v>493</v>
      </c>
    </row>
    <row r="21" ht="16.35" spans="1:2">
      <c r="A21" s="3" t="s">
        <v>494</v>
      </c>
      <c r="B21" s="3" t="s">
        <v>495</v>
      </c>
    </row>
    <row r="22" ht="16.35" spans="1:2">
      <c r="A22" s="4" t="s">
        <v>496</v>
      </c>
      <c r="B22" s="4" t="s">
        <v>10</v>
      </c>
    </row>
    <row r="23" ht="16.35" spans="1:2">
      <c r="A23" s="3" t="s">
        <v>497</v>
      </c>
      <c r="B23" s="3" t="s">
        <v>498</v>
      </c>
    </row>
    <row r="24" ht="16.35" spans="1:2">
      <c r="A24" s="4" t="s">
        <v>499</v>
      </c>
      <c r="B24" s="4" t="s">
        <v>500</v>
      </c>
    </row>
    <row r="25" ht="16.35" spans="1:2">
      <c r="A25" s="4" t="s">
        <v>501</v>
      </c>
      <c r="B25" s="4" t="s">
        <v>502</v>
      </c>
    </row>
    <row r="26" ht="16.35" spans="1:2">
      <c r="A26" s="3" t="s">
        <v>503</v>
      </c>
      <c r="B26" s="3" t="s">
        <v>504</v>
      </c>
    </row>
    <row r="27" ht="16.35" spans="1:2">
      <c r="A27" s="4" t="s">
        <v>505</v>
      </c>
      <c r="B27" s="4" t="s">
        <v>40</v>
      </c>
    </row>
    <row r="28" ht="16.35" spans="1:2">
      <c r="A28" s="3" t="s">
        <v>506</v>
      </c>
      <c r="B28" s="3" t="s">
        <v>507</v>
      </c>
    </row>
    <row r="29" ht="16.35" spans="1:2">
      <c r="A29" s="4" t="s">
        <v>508</v>
      </c>
      <c r="B29" s="4" t="s">
        <v>509</v>
      </c>
    </row>
    <row r="30" ht="16.35" spans="1:2">
      <c r="A30" s="4" t="s">
        <v>510</v>
      </c>
      <c r="B30" s="4" t="s">
        <v>511</v>
      </c>
    </row>
    <row r="31" ht="16.35" spans="1:2">
      <c r="A31" s="3" t="s">
        <v>512</v>
      </c>
      <c r="B31" s="3" t="s">
        <v>513</v>
      </c>
    </row>
    <row r="32" ht="16.35" spans="1:2">
      <c r="A32" s="4" t="s">
        <v>514</v>
      </c>
      <c r="B32" s="4" t="s">
        <v>515</v>
      </c>
    </row>
    <row r="33" ht="16.35" spans="1:2">
      <c r="A33" s="4" t="s">
        <v>516</v>
      </c>
      <c r="B33" s="4" t="s">
        <v>517</v>
      </c>
    </row>
    <row r="34" ht="16.35" spans="1:2">
      <c r="A34" s="3" t="s">
        <v>518</v>
      </c>
      <c r="B34" s="3" t="s">
        <v>519</v>
      </c>
    </row>
    <row r="35" ht="16.35" spans="1:2">
      <c r="A35" s="4" t="s">
        <v>520</v>
      </c>
      <c r="B35" s="4" t="s">
        <v>521</v>
      </c>
    </row>
    <row r="36" ht="16.35" spans="1:2">
      <c r="A36" s="4" t="s">
        <v>522</v>
      </c>
      <c r="B36" s="4" t="s">
        <v>523</v>
      </c>
    </row>
    <row r="37" ht="16.35" spans="1:2">
      <c r="A37" s="4" t="s">
        <v>524</v>
      </c>
      <c r="B37" s="4" t="s">
        <v>525</v>
      </c>
    </row>
    <row r="38" ht="16.35" spans="1:2">
      <c r="A38" s="4" t="s">
        <v>526</v>
      </c>
      <c r="B38" s="4" t="s">
        <v>527</v>
      </c>
    </row>
    <row r="39" ht="16.35" spans="1:2">
      <c r="A39" s="4" t="s">
        <v>528</v>
      </c>
      <c r="B39" s="4" t="s">
        <v>529</v>
      </c>
    </row>
    <row r="40" ht="16.35" spans="1:2">
      <c r="A40" s="3" t="s">
        <v>530</v>
      </c>
      <c r="B40" s="3" t="s">
        <v>531</v>
      </c>
    </row>
    <row r="41" ht="16.35" spans="1:2">
      <c r="A41" s="4" t="s">
        <v>532</v>
      </c>
      <c r="B41" s="4" t="s">
        <v>533</v>
      </c>
    </row>
    <row r="42" ht="16.35" spans="1:2">
      <c r="A42" s="4" t="s">
        <v>534</v>
      </c>
      <c r="B42" s="4" t="s">
        <v>535</v>
      </c>
    </row>
    <row r="43" ht="16.35" spans="1:2">
      <c r="A43" s="3" t="s">
        <v>536</v>
      </c>
      <c r="B43" s="3" t="s">
        <v>537</v>
      </c>
    </row>
    <row r="44" ht="16.35" spans="1:2">
      <c r="A44" s="4" t="s">
        <v>538</v>
      </c>
      <c r="B44" s="4" t="s">
        <v>539</v>
      </c>
    </row>
    <row r="45" ht="16.35" spans="1:2">
      <c r="A45" s="4" t="s">
        <v>540</v>
      </c>
      <c r="B45" s="4" t="s">
        <v>541</v>
      </c>
    </row>
    <row r="46" ht="16.35" spans="1:2">
      <c r="A46" s="4" t="s">
        <v>542</v>
      </c>
      <c r="B46" s="4" t="s">
        <v>543</v>
      </c>
    </row>
    <row r="47" ht="16.35" spans="1:2">
      <c r="A47" s="4" t="s">
        <v>544</v>
      </c>
      <c r="B47" s="4" t="s">
        <v>545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2026-03-30T13:55:35Z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