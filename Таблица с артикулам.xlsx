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<sst xmlns="http://schemas.openxmlformats.org/spreadsheetml/2006/main" count="1706" uniqueCount="462">
  <si>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</si>
  <si>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</si>
  <si>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</si>
  <si>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</si>
  <si>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</si>
  <si>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</si>
  <si>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</si>
  <si>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</si>
  <si>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</si>
  <si>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</si>
  <si>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</si>
  <si>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</si>
  <si>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</si>
  <si>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</si>
  <si>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</si>
  <si>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</si>
  <si>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</si>
  <si>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</si>
  <si>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</si>
  <si>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</si>
  <si>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</si>
  <si>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</si>
  <si>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</si>
  <si>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</si>
  <si>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</si>
  <si>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</si>
  <si>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</si>
  <si>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</si>
  <si>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</si>
  <si>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</si>
  <si>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</si>
  <si>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</si>
  <si>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</si>
  <si>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</si>
  <si>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</si>
  <si>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</si>
  <si>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</si>
  <si>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</si>
  <si>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</si>
  <si>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</si>
  <si>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</si>
  <si>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</si>
  <si>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</si>
  <si>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</si>
  <si>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</si>
  <si>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</si>
  <si>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</si>
  <si>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</si>
  <si>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</si>
  <si>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</si>
  <si>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</si>
  <si>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</si>
  <si>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</si>
  <si>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</si>
  <si>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</si>
  <si>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</si>
  <si>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</si>
  <si>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</si>
  <si>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</si>
  <si>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</si>
  <si>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</si>
  <si>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</si>
  <si>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</si>
  <si>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</si>
  <si>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</si>
  <si>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</si>
  <si>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</si>
  <si>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</si>
  <si>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</si>
  <si>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</si>
  <si>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</si>
  <si>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</si>
  <si>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</si>
  <si>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</si>
  <si>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</si>
  <si>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</si>
  <si>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</si>
  <si>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</si>
  <si>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</si>
  <si>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</si>
  <si>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</si>
  <si>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</si>
  <si>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</si>
  <si>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</si>
  <si>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</si>
  <si>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</si>
  <si>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</si>
  <si>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</si>
  <si>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</si>
  <si>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</si>
  <si>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</si>
  <si>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</si>
  <si>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</si>
  <si>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</si>
  <si>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</si>
  <si>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</si>
  <si>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</si>
  <si>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</si>
  <si>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</si>
  <si>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</si>
  <si>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</si>
  <si>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</si>
  <si>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</si>
  <si>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</si>
  <si>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</si>
  <si>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</si>
  <si>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</si>
  <si>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</si>
  <si>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</si>
  <si>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</si>
  <si>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</si>
  <si>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</si>
  <si>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</si>
  <si>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</si>
  <si>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</si>
  <si>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</si>
  <si>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</si>
  <si>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</si>
  <si>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</si>
  <si>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</si>
  <si>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</si>
  <si>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</si>
  <si>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</si>
  <si>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</si>
  <si>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</si>
  <si>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</si>
  <si>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</si>
  <si>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</si>
  <si>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</si>
  <si>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</si>
  <si>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</si>
  <si>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</si>
  <si>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</si>
  <si>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</si>
  <si>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</si>
  <si>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</si>
  <si>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</si>
  <si>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</si>
  <si>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</si>
  <si>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</si>
  <si>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</si>
  <si>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</si>
  <si>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</si>
  <si>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</si>
  <si>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</si>
  <si>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</si>
  <si>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</si>
  <si>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</si>
  <si>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</si>
  <si>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</si>
  <si>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</si>
  <si>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</si>
  <si>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</si>
  <si>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</si>
  <si>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</si>
  <si>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</si>
  <si>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</si>
  <si>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</si>
  <si>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</si>
  <si>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</si>
  <si>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</si>
  <si>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</si>
  <si>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</si>
  <si>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</si>
  <si>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</si>
  <si>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</si>
  <si>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</si>
  <si>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</si>
  <si>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</si>
  <si>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</si>
  <si>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</si>
  <si>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</si>
  <si>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</si>
  <si>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</si>
  <si>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</si>
  <si>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</si>
  <si>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</si>
  <si>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</si>
  <si>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</si>
  <si>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</si>
  <si>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</si>
  <si>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</si>
  <si>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</si>
  <si>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</si>
  <si>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</si>
  <si>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</si>
  <si>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</si>
  <si>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</si>
  <si>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</si>
  <si>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</si>
  <si>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</si>
  <si>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</si>
  <si>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</si>
  <si>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</si>
  <si>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</si>
  <si>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</si>
  <si>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</si>
  <si>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</si>
  <si>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</si>
  <si>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</si>
  <si>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</si>
  <si>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</si>
  <si>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</si>
  <si>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</si>
  <si>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</si>
  <si>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</si>
  <si>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</si>
  <si>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</si>
  <si>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</si>
  <si>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</si>
  <si>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</si>
  <si>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</si>
  <si>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</si>
  <si>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</si>
  <si>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</si>
  <si>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</si>
  <si>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</si>
  <si>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</si>
  <si>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</si>
  <si>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</si>
  <si>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</si>
  <si>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</si>
  <si>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</si>
  <si>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</si>
  <si>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</si>
  <si>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</si>
  <si>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</si>
  <si>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</si>
  <si>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</si>
  <si>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</si>
  <si>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</si>
  <si>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</si>
  <si>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</si>
  <si>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</si>
  <si>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</si>
  <si>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</si>
  <si>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</si>
  <si>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</si>
  <si>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</si>
  <si>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</si>
  <si>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</si>
  <si>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</si>
  <si>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</si>
  <si>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</si>
  <si>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</si>
  <si>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</si>
  <si>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</si>
  <si>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</si>
  <si>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</si>
  <si>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</si>
  <si>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</si>
  <si>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</si>
  <si>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</si>
  <si>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</si>
  <si>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</si>
  <si>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</si>
  <si>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</si>
  <si>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</si>
  <si>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</si>
  <si>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</si>
  <si>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</si>
  <si>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</si>
  <si>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</si>
  <si>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</si>
  <si>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</si>
  <si>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</si>
  <si>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</si>
  <si>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</si>
  <si>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</si>
  <si>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</si>
  <si>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</si>
  <si>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</si>
  <si>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</si>
  <si>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</si>
  <si>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</si>
  <si>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</si>
  <si>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</si>
  <si>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</si>
  <si>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</si>
  <si>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</si>
  <si>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</si>
  <si>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</si>
  <si>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</si>
  <si>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</si>
  <si>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</si>
  <si>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</si>
  <si>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</si>
  <si>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</si>
  <si>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</si>
  <si>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</si>
  <si>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</si>
  <si>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</si>
  <si>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</si>
  <si>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</si>
  <si>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</si>
  <si>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</si>
  <si>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</si>
  <si>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</si>
  <si>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</si>
  <si>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</si>
  <si>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</si>
  <si>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</si>
  <si>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</si>
  <si>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</si>
  <si>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</si>
  <si>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</si>
  <si>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</si>
  <si>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</si>
  <si>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</si>
  <si>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</si>
  <si>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</si>
  <si>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</si>
  <si>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</si>
  <si>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</si>
  <si>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</si>
  <si>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</si>
  <si>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</si>
  <si>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</si>
  <si>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</si>
  <si>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</si>
  <si>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</si>
  <si>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</si>
  <si>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</si>
  <si>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</si>
  <si>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</si>
  <si>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</si>
  <si>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</si>
  <si>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</si>
  <si>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</si>
  <si>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</si>
  <si>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</si>
  <si>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</si>
  <si>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</si>
  <si>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</si>
  <si>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</si>
  <si>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</si>
  <si>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</si>
  <si>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</si>
  <si>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</si>
  <si>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</si>
  <si>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</si>
  <si>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</si>
  <si>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</si>
  <si>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</si>
  <si>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</si>
  <si>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</si>
  <si>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</si>
  <si>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</si>
  <si>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</si>
  <si>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</si>
  <si>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</si>
  <si>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</si>
  <si>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</si>
  <si>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</si>
  <si>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</si>
  <si>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</si>
  <si>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</si>
  <si>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</si>
  <si>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</si>
  <si>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</si>
  <si>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</si>
  <si>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</si>
  <si>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</si>
  <si>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</si>
  <si>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</si>
  <si>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</si>
  <si>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</si>
  <si>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</si>
  <si>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</si>
  <si>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</si>
  <si>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</si>
  <si>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Анталья Ликийские гробницы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</si>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</sst>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80"/>
  <sheetViews>
    <sheetView tabSelected="1" topLeftCell="C254" workbookViewId="0">
      <selection activeCell="G267" sqref="G267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6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279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279" si="10">C258&amp;D258&amp;E258&amp;F258&amp;G258</f>
        <v>NtrAntaly257.PQTC.21.03.26</v>
      </c>
      <c r="L258" s="19" t="str">
        <f t="shared" ref="L258:L279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>A280&amp;"."</f>
        <v>279.</v>
      </c>
      <c r="F280" s="19" t="s">
        <v>13</v>
      </c>
      <c r="G280" s="8" t="s">
        <v>365</v>
      </c>
      <c r="H280" s="6" t="s">
        <v>371</v>
      </c>
      <c r="J280" s="21" t="str">
        <f>C280&amp;D280&amp;E280&amp;F280&amp;G280</f>
        <v>NtrAntaly279.PQTC.24.03.26</v>
      </c>
      <c r="L280" s="19" t="str">
        <f>A280&amp;" "&amp;C280&amp;D280&amp;E280&amp;F280&amp;G280&amp;" "&amp;H280</f>
        <v>279 NtrAntaly279.PQTC.24.03.26 Анталья Ликийские гробницы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372</v>
      </c>
      <c r="B1" s="2" t="s">
        <v>373</v>
      </c>
    </row>
    <row r="2" ht="16.35" spans="1:2">
      <c r="A2" s="3" t="s">
        <v>374</v>
      </c>
      <c r="B2" s="3" t="s">
        <v>375</v>
      </c>
    </row>
    <row r="3" ht="16.35" spans="1:2">
      <c r="A3" s="4" t="s">
        <v>376</v>
      </c>
      <c r="B3" s="4" t="s">
        <v>377</v>
      </c>
    </row>
    <row r="4" ht="16.35" spans="1:2">
      <c r="A4" s="4" t="s">
        <v>378</v>
      </c>
      <c r="B4" s="4" t="s">
        <v>379</v>
      </c>
    </row>
    <row r="5" ht="31.95" spans="1:2">
      <c r="A5" s="4" t="s">
        <v>380</v>
      </c>
      <c r="B5" s="4" t="s">
        <v>381</v>
      </c>
    </row>
    <row r="6" ht="16.35" spans="1:2">
      <c r="A6" s="3" t="s">
        <v>382</v>
      </c>
      <c r="B6" s="3" t="s">
        <v>383</v>
      </c>
    </row>
    <row r="7" ht="16.35" spans="1:2">
      <c r="A7" s="4" t="s">
        <v>384</v>
      </c>
      <c r="B7" s="4" t="s">
        <v>385</v>
      </c>
    </row>
    <row r="8" ht="16.35" spans="1:2">
      <c r="A8" s="4" t="s">
        <v>386</v>
      </c>
      <c r="B8" s="4" t="s">
        <v>387</v>
      </c>
    </row>
    <row r="9" ht="16.35" spans="1:2">
      <c r="A9" s="4" t="s">
        <v>388</v>
      </c>
      <c r="B9" s="4" t="s">
        <v>389</v>
      </c>
    </row>
    <row r="10" ht="16.35" spans="1:2">
      <c r="A10" s="4" t="s">
        <v>390</v>
      </c>
      <c r="B10" s="4" t="s">
        <v>391</v>
      </c>
    </row>
    <row r="11" ht="16.35" spans="1:2">
      <c r="A11" s="4" t="s">
        <v>392</v>
      </c>
      <c r="B11" s="4" t="s">
        <v>393</v>
      </c>
    </row>
    <row r="12" ht="16.35" spans="1:2">
      <c r="A12" s="4" t="s">
        <v>394</v>
      </c>
      <c r="B12" s="4" t="s">
        <v>395</v>
      </c>
    </row>
    <row r="13" ht="16.35" spans="1:2">
      <c r="A13" s="4" t="s">
        <v>396</v>
      </c>
      <c r="B13" s="4" t="s">
        <v>397</v>
      </c>
    </row>
    <row r="14" ht="16.35" spans="1:2">
      <c r="A14" s="4" t="s">
        <v>398</v>
      </c>
      <c r="B14" s="4" t="s">
        <v>399</v>
      </c>
    </row>
    <row r="15" ht="16.35" spans="1:2">
      <c r="A15" s="3" t="s">
        <v>400</v>
      </c>
      <c r="B15" s="3" t="s">
        <v>401</v>
      </c>
    </row>
    <row r="16" ht="16.35" spans="1:2">
      <c r="A16" s="4" t="s">
        <v>402</v>
      </c>
      <c r="B16" s="4" t="s">
        <v>19</v>
      </c>
    </row>
    <row r="17" ht="16.35" spans="1:2">
      <c r="A17" s="4" t="s">
        <v>403</v>
      </c>
      <c r="B17" s="4" t="s">
        <v>404</v>
      </c>
    </row>
    <row r="18" ht="16.35" spans="1:2">
      <c r="A18" s="3" t="s">
        <v>405</v>
      </c>
      <c r="B18" s="3" t="s">
        <v>406</v>
      </c>
    </row>
    <row r="19" ht="16.35" spans="1:2">
      <c r="A19" s="4" t="s">
        <v>407</v>
      </c>
      <c r="B19" s="4" t="s">
        <v>246</v>
      </c>
    </row>
    <row r="20" ht="16.35" spans="1:2">
      <c r="A20" s="4" t="s">
        <v>408</v>
      </c>
      <c r="B20" s="4" t="s">
        <v>409</v>
      </c>
    </row>
    <row r="21" ht="16.35" spans="1:2">
      <c r="A21" s="3" t="s">
        <v>410</v>
      </c>
      <c r="B21" s="3" t="s">
        <v>411</v>
      </c>
    </row>
    <row r="22" ht="16.35" spans="1:2">
      <c r="A22" s="4" t="s">
        <v>412</v>
      </c>
      <c r="B22" s="4" t="s">
        <v>10</v>
      </c>
    </row>
    <row r="23" ht="16.35" spans="1:2">
      <c r="A23" s="3" t="s">
        <v>413</v>
      </c>
      <c r="B23" s="3" t="s">
        <v>414</v>
      </c>
    </row>
    <row r="24" ht="16.35" spans="1:2">
      <c r="A24" s="4" t="s">
        <v>415</v>
      </c>
      <c r="B24" s="4" t="s">
        <v>416</v>
      </c>
    </row>
    <row r="25" ht="16.35" spans="1:2">
      <c r="A25" s="4" t="s">
        <v>417</v>
      </c>
      <c r="B25" s="4" t="s">
        <v>418</v>
      </c>
    </row>
    <row r="26" ht="16.35" spans="1:2">
      <c r="A26" s="3" t="s">
        <v>419</v>
      </c>
      <c r="B26" s="3" t="s">
        <v>420</v>
      </c>
    </row>
    <row r="27" ht="16.35" spans="1:2">
      <c r="A27" s="4" t="s">
        <v>421</v>
      </c>
      <c r="B27" s="4" t="s">
        <v>40</v>
      </c>
    </row>
    <row r="28" ht="16.35" spans="1:2">
      <c r="A28" s="3" t="s">
        <v>422</v>
      </c>
      <c r="B28" s="3" t="s">
        <v>423</v>
      </c>
    </row>
    <row r="29" ht="16.35" spans="1:2">
      <c r="A29" s="4" t="s">
        <v>424</v>
      </c>
      <c r="B29" s="4" t="s">
        <v>425</v>
      </c>
    </row>
    <row r="30" ht="16.35" spans="1:2">
      <c r="A30" s="4" t="s">
        <v>426</v>
      </c>
      <c r="B30" s="4" t="s">
        <v>427</v>
      </c>
    </row>
    <row r="31" ht="16.35" spans="1:2">
      <c r="A31" s="3" t="s">
        <v>428</v>
      </c>
      <c r="B31" s="3" t="s">
        <v>429</v>
      </c>
    </row>
    <row r="32" ht="16.35" spans="1:2">
      <c r="A32" s="4" t="s">
        <v>430</v>
      </c>
      <c r="B32" s="4" t="s">
        <v>431</v>
      </c>
    </row>
    <row r="33" ht="16.35" spans="1:2">
      <c r="A33" s="4" t="s">
        <v>432</v>
      </c>
      <c r="B33" s="4" t="s">
        <v>433</v>
      </c>
    </row>
    <row r="34" ht="16.35" spans="1:2">
      <c r="A34" s="3" t="s">
        <v>434</v>
      </c>
      <c r="B34" s="3" t="s">
        <v>435</v>
      </c>
    </row>
    <row r="35" ht="16.35" spans="1:2">
      <c r="A35" s="4" t="s">
        <v>436</v>
      </c>
      <c r="B35" s="4" t="s">
        <v>437</v>
      </c>
    </row>
    <row r="36" ht="16.35" spans="1:2">
      <c r="A36" s="4" t="s">
        <v>438</v>
      </c>
      <c r="B36" s="4" t="s">
        <v>439</v>
      </c>
    </row>
    <row r="37" ht="16.35" spans="1:2">
      <c r="A37" s="4" t="s">
        <v>440</v>
      </c>
      <c r="B37" s="4" t="s">
        <v>441</v>
      </c>
    </row>
    <row r="38" ht="16.35" spans="1:2">
      <c r="A38" s="4" t="s">
        <v>442</v>
      </c>
      <c r="B38" s="4" t="s">
        <v>443</v>
      </c>
    </row>
    <row r="39" ht="16.35" spans="1:2">
      <c r="A39" s="4" t="s">
        <v>444</v>
      </c>
      <c r="B39" s="4" t="s">
        <v>445</v>
      </c>
    </row>
    <row r="40" ht="16.35" spans="1:2">
      <c r="A40" s="3" t="s">
        <v>446</v>
      </c>
      <c r="B40" s="3" t="s">
        <v>447</v>
      </c>
    </row>
    <row r="41" ht="16.35" spans="1:2">
      <c r="A41" s="4" t="s">
        <v>448</v>
      </c>
      <c r="B41" s="4" t="s">
        <v>449</v>
      </c>
    </row>
    <row r="42" ht="16.35" spans="1:2">
      <c r="A42" s="4" t="s">
        <v>450</v>
      </c>
      <c r="B42" s="4" t="s">
        <v>451</v>
      </c>
    </row>
    <row r="43" ht="16.35" spans="1:2">
      <c r="A43" s="3" t="s">
        <v>452</v>
      </c>
      <c r="B43" s="3" t="s">
        <v>453</v>
      </c>
    </row>
    <row r="44" ht="16.35" spans="1:2">
      <c r="A44" s="4" t="s">
        <v>454</v>
      </c>
      <c r="B44" s="4" t="s">
        <v>455</v>
      </c>
    </row>
    <row r="45" ht="16.35" spans="1:2">
      <c r="A45" s="4" t="s">
        <v>456</v>
      </c>
      <c r="B45" s="4" t="s">
        <v>457</v>
      </c>
    </row>
    <row r="46" ht="16.35" spans="1:2">
      <c r="A46" s="4" t="s">
        <v>458</v>
      </c>
      <c r="B46" s="4" t="s">
        <v>459</v>
      </c>
    </row>
    <row r="47" ht="16.35" spans="1:2">
      <c r="A47" s="4" t="s">
        <v>460</v>
      </c>
      <c r="B47" s="4" t="s">
        <v>461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2026-03-24T13:47:06Z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