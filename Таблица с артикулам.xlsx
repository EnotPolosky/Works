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Артикулы" sheetId="3" r:id="rId1"/>
    <sheet name="Аббревиатуры товаров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<sst xmlns="http://schemas.openxmlformats.org/spreadsheetml/2006/main" count="1626" uniqueCount="455">
  <si>
    <t>Номер баннера</t>
  </si>
  <si>
    <t>Аббревиатура товаров</t>
  </si>
  <si>
    <t>Тематика</t>
  </si>
  <si>
    <t>Номер отрисовки</t>
  </si>
  <si>
    <t>Артикул дизайнера</t>
  </si>
  <si>
    <t>Дата</t>
  </si>
  <si>
    <t>Наименование</t>
  </si>
  <si>
    <t>Артикул макета</t>
  </si>
  <si>
    <t>Артикул баннера</t>
  </si>
  <si>
    <t>01</t>
  </si>
  <si>
    <t>Ntr</t>
  </si>
  <si>
    <t>DeathG</t>
  </si>
  <si>
    <t>01.</t>
  </si>
  <si>
    <t>PQTC.</t>
  </si>
  <si>
    <t>26.02.26</t>
  </si>
  <si>
    <t>сериал Игра Смерти</t>
  </si>
  <si>
    <t>02</t>
  </si>
  <si>
    <t>02.</t>
  </si>
  <si>
    <t>03</t>
  </si>
  <si>
    <t>Kgr</t>
  </si>
  <si>
    <t>Madona</t>
  </si>
  <si>
    <t>03.</t>
  </si>
  <si>
    <t>Мадонна</t>
  </si>
  <si>
    <t>04</t>
  </si>
  <si>
    <t>04.</t>
  </si>
  <si>
    <t>05</t>
  </si>
  <si>
    <t>05.</t>
  </si>
  <si>
    <t>06</t>
  </si>
  <si>
    <t>06.</t>
  </si>
  <si>
    <t>07</t>
  </si>
  <si>
    <t>07.</t>
  </si>
  <si>
    <t>08</t>
  </si>
  <si>
    <t>08.</t>
  </si>
  <si>
    <t>09</t>
  </si>
  <si>
    <t>BMWTou</t>
  </si>
  <si>
    <t>09.</t>
  </si>
  <si>
    <t>BMW М5 Touring</t>
  </si>
  <si>
    <t>10</t>
  </si>
  <si>
    <t>10.</t>
  </si>
  <si>
    <t>11</t>
  </si>
  <si>
    <t>Cup</t>
  </si>
  <si>
    <t>BlaLov</t>
  </si>
  <si>
    <t>11.</t>
  </si>
  <si>
    <t>28.02.26</t>
  </si>
  <si>
    <t>Сериал Чёрная любовь</t>
  </si>
  <si>
    <t>12</t>
  </si>
  <si>
    <t>12.</t>
  </si>
  <si>
    <t>13</t>
  </si>
  <si>
    <t>13.</t>
  </si>
  <si>
    <t>14</t>
  </si>
  <si>
    <t>HowYou</t>
  </si>
  <si>
    <t>14.</t>
  </si>
  <si>
    <t>Сериал Повсюду Ты</t>
  </si>
  <si>
    <t>15</t>
  </si>
  <si>
    <t>15.</t>
  </si>
  <si>
    <t>16</t>
  </si>
  <si>
    <t>16.</t>
  </si>
  <si>
    <t>17</t>
  </si>
  <si>
    <t>Nice</t>
  </si>
  <si>
    <t>17.</t>
  </si>
  <si>
    <t>Ницца Negresco Hotel</t>
  </si>
  <si>
    <t>18</t>
  </si>
  <si>
    <t>18.</t>
  </si>
  <si>
    <t>Лазурный берег Ниццы</t>
  </si>
  <si>
    <t>19</t>
  </si>
  <si>
    <t>19.</t>
  </si>
  <si>
    <t>Ницца Нотр-Дам</t>
  </si>
  <si>
    <t>20</t>
  </si>
  <si>
    <t>20.</t>
  </si>
  <si>
    <t>Ницца церковь Нотр-Дам-дю-Порт</t>
  </si>
  <si>
    <t>21</t>
  </si>
  <si>
    <t>21.</t>
  </si>
  <si>
    <t>22</t>
  </si>
  <si>
    <t>22.</t>
  </si>
  <si>
    <t>Ницца Фонтан Апполона</t>
  </si>
  <si>
    <t>SAOPAU</t>
  </si>
  <si>
    <t>23.</t>
  </si>
  <si>
    <t>01.03.26</t>
  </si>
  <si>
    <t>Сан Пауло Кафедральный собор</t>
  </si>
  <si>
    <t>24.</t>
  </si>
  <si>
    <t>25.</t>
  </si>
  <si>
    <t>Сан Пауло пляж Сантос</t>
  </si>
  <si>
    <t>26.</t>
  </si>
  <si>
    <t>Сан Пауло Мост Октавио Фриас де Оливейра</t>
  </si>
  <si>
    <t>27.</t>
  </si>
  <si>
    <t>Сан Пауло Музей Паулиста</t>
  </si>
  <si>
    <t>ABUDHA</t>
  </si>
  <si>
    <t>28.</t>
  </si>
  <si>
    <t>Абу-Даби Мечеть шейха Заида</t>
  </si>
  <si>
    <t>29.</t>
  </si>
  <si>
    <t>30.</t>
  </si>
  <si>
    <t>Небоскребы Абу-Даби</t>
  </si>
  <si>
    <t>31.</t>
  </si>
  <si>
    <t>32.</t>
  </si>
  <si>
    <t>33.</t>
  </si>
  <si>
    <t>34.</t>
  </si>
  <si>
    <t>Абу-Даби</t>
  </si>
  <si>
    <t>35.</t>
  </si>
  <si>
    <t xml:space="preserve">Абу-Даби отель Rixos Marina </t>
  </si>
  <si>
    <t>36.</t>
  </si>
  <si>
    <t>37.</t>
  </si>
  <si>
    <t xml:space="preserve">Абу-Даби Лувр </t>
  </si>
  <si>
    <t>Phuket</t>
  </si>
  <si>
    <t>38.</t>
  </si>
  <si>
    <t>02.03.26</t>
  </si>
  <si>
    <t>Ночной Пхукет</t>
  </si>
  <si>
    <t>39.</t>
  </si>
  <si>
    <t>Пхукет</t>
  </si>
  <si>
    <t>40.</t>
  </si>
  <si>
    <t>Пхукет пляж Фридом</t>
  </si>
  <si>
    <t>41.</t>
  </si>
  <si>
    <t>Пхукет пляж Рейли</t>
  </si>
  <si>
    <t>42.</t>
  </si>
  <si>
    <t>Пхукет пляж Най Тон</t>
  </si>
  <si>
    <t>43.</t>
  </si>
  <si>
    <t>Пхукет остров Джеймса Бонда</t>
  </si>
  <si>
    <t>44.</t>
  </si>
  <si>
    <t>Пхукет острова Пхи Пхи</t>
  </si>
  <si>
    <t>45.</t>
  </si>
  <si>
    <t>Пхукет пейзаж</t>
  </si>
  <si>
    <t>46.</t>
  </si>
  <si>
    <t>Пхукет архипелаг Пипи</t>
  </si>
  <si>
    <t>47.</t>
  </si>
  <si>
    <t>Пхукет храм Карона</t>
  </si>
  <si>
    <t>48.</t>
  </si>
  <si>
    <t>49.</t>
  </si>
  <si>
    <t>Пхукет Пхи Пхи</t>
  </si>
  <si>
    <t>50.</t>
  </si>
  <si>
    <t>51.</t>
  </si>
  <si>
    <t>03.03.26</t>
  </si>
  <si>
    <t>Пхукет Большой Будда</t>
  </si>
  <si>
    <t>52.</t>
  </si>
  <si>
    <t>53.</t>
  </si>
  <si>
    <t>Пхукет Будда Шакьямуни</t>
  </si>
  <si>
    <t>54.</t>
  </si>
  <si>
    <t>Пхукет Гуань Инь</t>
  </si>
  <si>
    <t>55.</t>
  </si>
  <si>
    <t>Пхукет храм Ват Чалонг</t>
  </si>
  <si>
    <t>56.</t>
  </si>
  <si>
    <t>57.</t>
  </si>
  <si>
    <t>Пхукет парк FantaSea</t>
  </si>
  <si>
    <t>58.</t>
  </si>
  <si>
    <t>59.</t>
  </si>
  <si>
    <t>Пхукет закат</t>
  </si>
  <si>
    <t>60.</t>
  </si>
  <si>
    <t>61.</t>
  </si>
  <si>
    <t>Пхуке  ночной пляж</t>
  </si>
  <si>
    <t>62.</t>
  </si>
  <si>
    <t>63.</t>
  </si>
  <si>
    <t>Пхукет остров Рача-Яй</t>
  </si>
  <si>
    <t>64.</t>
  </si>
  <si>
    <t>65.</t>
  </si>
  <si>
    <t>RiodeJ</t>
  </si>
  <si>
    <t>66.</t>
  </si>
  <si>
    <t>04.03.26</t>
  </si>
  <si>
    <t>Рио-де-Жанейро Пан-ди-Асукар</t>
  </si>
  <si>
    <t>67.</t>
  </si>
  <si>
    <t>Рио-де-Жанейро статуя Христа Искупителя</t>
  </si>
  <si>
    <t>68.</t>
  </si>
  <si>
    <t>69.</t>
  </si>
  <si>
    <t>70.</t>
  </si>
  <si>
    <t>Рио-де-Жанейро закат статуя Христа Искупителя</t>
  </si>
  <si>
    <t>71.</t>
  </si>
  <si>
    <t>Рио-де-Жанейро</t>
  </si>
  <si>
    <t>72.</t>
  </si>
  <si>
    <t>73.</t>
  </si>
  <si>
    <t>Рио-де-Жанейро пляж Копакабана</t>
  </si>
  <si>
    <t>74.</t>
  </si>
  <si>
    <t xml:space="preserve">Вечерний Рио-де-Жанейро </t>
  </si>
  <si>
    <t>75.</t>
  </si>
  <si>
    <t>76.</t>
  </si>
  <si>
    <t>77.</t>
  </si>
  <si>
    <t>Ночной Рио-де-Жанейро</t>
  </si>
  <si>
    <t>78.</t>
  </si>
  <si>
    <t>79.</t>
  </si>
  <si>
    <t>Рассвет Рио-де-Жанейро</t>
  </si>
  <si>
    <t>80.</t>
  </si>
  <si>
    <t>81.</t>
  </si>
  <si>
    <t>82.</t>
  </si>
  <si>
    <t>05.03.26</t>
  </si>
  <si>
    <t>Рио-де-Жанейро собор Святого Себастьяна</t>
  </si>
  <si>
    <t>83.</t>
  </si>
  <si>
    <t>Рио-де-Жанейро Церковь Канделария</t>
  </si>
  <si>
    <t>84.</t>
  </si>
  <si>
    <t>85.</t>
  </si>
  <si>
    <t>Рио-де-Жанейро Муниципальный театр</t>
  </si>
  <si>
    <t>86.</t>
  </si>
  <si>
    <t>Рио-де-Жанейро Музей современного искусства</t>
  </si>
  <si>
    <t>87.</t>
  </si>
  <si>
    <t>Рио-де-Жанейро монумент</t>
  </si>
  <si>
    <t>88.</t>
  </si>
  <si>
    <t>Рио-де-Жанейро Парк Лаге</t>
  </si>
  <si>
    <t>89.</t>
  </si>
  <si>
    <t>Almaty</t>
  </si>
  <si>
    <t>90.</t>
  </si>
  <si>
    <t>Алматы</t>
  </si>
  <si>
    <t>91.</t>
  </si>
  <si>
    <t>Ночные Алматы</t>
  </si>
  <si>
    <t>92.</t>
  </si>
  <si>
    <t>93.</t>
  </si>
  <si>
    <t>07.03.26</t>
  </si>
  <si>
    <t>94.</t>
  </si>
  <si>
    <t>Вечерний Алматы</t>
  </si>
  <si>
    <t>95.</t>
  </si>
  <si>
    <t>Алматы беседка Ротонда</t>
  </si>
  <si>
    <t>96.</t>
  </si>
  <si>
    <t>97.</t>
  </si>
  <si>
    <t>Алматы парк Кок-Тобе</t>
  </si>
  <si>
    <t>98.</t>
  </si>
  <si>
    <t>99.</t>
  </si>
  <si>
    <t>Алматы Вознесенский собор</t>
  </si>
  <si>
    <t>100.</t>
  </si>
  <si>
    <t>101.</t>
  </si>
  <si>
    <t>Алматы Свято-Никольский собор</t>
  </si>
  <si>
    <t>102.</t>
  </si>
  <si>
    <t>Алматы Центральная мечеть</t>
  </si>
  <si>
    <t>103.</t>
  </si>
  <si>
    <t>104.</t>
  </si>
  <si>
    <t>105.</t>
  </si>
  <si>
    <t>106.</t>
  </si>
  <si>
    <t>Алматы Центральная площадь</t>
  </si>
  <si>
    <t>107.</t>
  </si>
  <si>
    <t>Алматы здание Верховного совета</t>
  </si>
  <si>
    <t>108.</t>
  </si>
  <si>
    <t>Алматы Бакшасарай</t>
  </si>
  <si>
    <t>109.</t>
  </si>
  <si>
    <t>08.03.26</t>
  </si>
  <si>
    <t>Алматы отель Казахстан</t>
  </si>
  <si>
    <t>110.</t>
  </si>
  <si>
    <t>Алматы Кольсайские озёра</t>
  </si>
  <si>
    <t>111.</t>
  </si>
  <si>
    <t>Алматы Каинды</t>
  </si>
  <si>
    <t>112.</t>
  </si>
  <si>
    <t>113.</t>
  </si>
  <si>
    <t>Большое Алматинское озеро</t>
  </si>
  <si>
    <t>114.</t>
  </si>
  <si>
    <t>115.</t>
  </si>
  <si>
    <t>Алматы канатная дорога</t>
  </si>
  <si>
    <t>116.</t>
  </si>
  <si>
    <t>Алматы каньон чарынский</t>
  </si>
  <si>
    <t>117.</t>
  </si>
  <si>
    <t>Алматы монумент независимости</t>
  </si>
  <si>
    <t>118.</t>
  </si>
  <si>
    <t>Алматы Чарынский каньон</t>
  </si>
  <si>
    <t>119.</t>
  </si>
  <si>
    <t>Алматы парк Первого Президента</t>
  </si>
  <si>
    <t>Ops</t>
  </si>
  <si>
    <t>Planet</t>
  </si>
  <si>
    <t>120.</t>
  </si>
  <si>
    <t>09.03.26</t>
  </si>
  <si>
    <t>Планеты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</si>
  <si>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</si>
  <si>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</si>
  <si>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</si>
  <si>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</si>
  <si>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</si>
  <si>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</si>
  <si>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</si>
  <si>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</si>
  <si>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</si>
  <si>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</si>
  <si>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10.03.26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</si>
  <si>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</si>
  <si>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</si>
  <si>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</si>
  <si>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</si>
  <si>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</si>
  <si>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</si>
  <si>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</si>
  <si>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</si>
  <si>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</si>
  <si>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</si>
  <si>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</si>
  <si>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</si>
  <si>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</si>
  <si>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</si>
  <si>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</si>
  <si>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</si>
  <si>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</si>
  <si>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</si>
  <si>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11.03.26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</si>
  <si>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</si>
  <si>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</si>
  <si>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</si>
  <si>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</si>
  <si>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</si>
  <si>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</si>
  <si>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</si>
  <si>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</si>
  <si>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</si>
  <si>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</si>
  <si>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12.03.26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</si>
  <si>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</si>
  <si>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</si>
  <si>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</si>
  <si>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</si>
  <si>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</si>
  <si>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</si>
  <si>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</si>
  <si>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</si>
  <si>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</si>
  <si>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</si>
  <si>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</si>
  <si>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</si>
  <si>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</si>
  <si>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</si>
  <si>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</si>
  <si>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</si>
  <si>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</si>
  <si>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</si>
  <si>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</si>
  <si>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13.03.26</t>
  </si>
  <si>
    <t>178.</t>
  </si>
  <si>
    <t>179.</t>
  </si>
  <si>
    <t>180.</t>
  </si>
  <si>
    <t>181.</t>
  </si>
  <si>
    <t>DBDGam</t>
  </si>
  <si>
    <t>182.</t>
  </si>
  <si>
    <t>DBD Искра безумия</t>
  </si>
  <si>
    <t>183.</t>
  </si>
  <si>
    <t>DBD Кастлвания</t>
  </si>
  <si>
    <t>184.</t>
  </si>
  <si>
    <t>DBD Портрет убийцы</t>
  </si>
  <si>
    <t>185.</t>
  </si>
  <si>
    <t>DBD Призрачное Лицо</t>
  </si>
  <si>
    <t>186.</t>
  </si>
  <si>
    <t>DBD Полное уничтожение</t>
  </si>
  <si>
    <t>14.03.26</t>
  </si>
  <si>
    <t>DBD Очень странные дела</t>
  </si>
  <si>
    <t>DBD Зловещая благодать</t>
  </si>
  <si>
    <t>DBD Пять ночей с Фредди</t>
  </si>
  <si>
    <t>DBD Токийский гуль</t>
  </si>
  <si>
    <t>DBD Обреченный курс</t>
  </si>
  <si>
    <t>DBD Подземелья и драконы</t>
  </si>
  <si>
    <t>DBD Все пороки</t>
  </si>
  <si>
    <t>DBD Хороший парень — Чаки</t>
  </si>
  <si>
    <t>DBD Чужой</t>
  </si>
  <si>
    <t>DBD Конец передачи</t>
  </si>
  <si>
    <t>Antaly</t>
  </si>
  <si>
    <t>15.03.26</t>
  </si>
  <si>
    <t>Анталья аллея парящих зонтиков</t>
  </si>
  <si>
    <t>Анталья дюденские водопады</t>
  </si>
  <si>
    <t>16.03.26</t>
  </si>
  <si>
    <t>Анталья озеро Салда</t>
  </si>
  <si>
    <t>Анталья античный город Кибира</t>
  </si>
  <si>
    <t>Анталья минарет Кесик</t>
  </si>
  <si>
    <t>Анталья древний город Андриаке</t>
  </si>
  <si>
    <t>Анталья руины Перге</t>
  </si>
  <si>
    <t>17.03.26</t>
  </si>
  <si>
    <t>Анталья ворота Адриана</t>
  </si>
  <si>
    <t>Анталья башня Хыдырлык</t>
  </si>
  <si>
    <t>Анталья порт Калеичи</t>
  </si>
  <si>
    <t>18.03.26</t>
  </si>
  <si>
    <t>Анталья крепость Аланья</t>
  </si>
  <si>
    <t>Анталья Делик-Дениз</t>
  </si>
  <si>
    <t xml:space="preserve">Анталья </t>
  </si>
  <si>
    <t>Анталья пейзаж</t>
  </si>
  <si>
    <t>20.03.26</t>
  </si>
  <si>
    <t>Анталья Перге</t>
  </si>
  <si>
    <t>Анталья Фаселис</t>
  </si>
  <si>
    <t>Анталья Аспендос</t>
  </si>
  <si>
    <t>Анталья античный театр Сиде</t>
  </si>
  <si>
    <t>21.03.26</t>
  </si>
  <si>
    <t>Анталья храм Аполлона Сиде</t>
  </si>
  <si>
    <t>Анталья Сиде</t>
  </si>
  <si>
    <t>Товар</t>
  </si>
  <si>
    <t>Аббревиатура</t>
  </si>
  <si>
    <t>Браслеты</t>
  </si>
  <si>
    <t>B</t>
  </si>
  <si>
    <t>Браслет косичка с серебряной плашкой</t>
  </si>
  <si>
    <t>Bls</t>
  </si>
  <si>
    <t>Браслет силиконовый с серебряной плашкой</t>
  </si>
  <si>
    <t>Brs</t>
  </si>
  <si>
    <t>Браслет широкий кожа с серебряной плашкой</t>
  </si>
  <si>
    <t>Bks</t>
  </si>
  <si>
    <t>Акрил</t>
  </si>
  <si>
    <t>A</t>
  </si>
  <si>
    <t>Акрил брелок</t>
  </si>
  <si>
    <t>Ake</t>
  </si>
  <si>
    <t>Акрил постер</t>
  </si>
  <si>
    <t>Apo</t>
  </si>
  <si>
    <t>Акрил ночник прямоугольник</t>
  </si>
  <si>
    <t>Anp</t>
  </si>
  <si>
    <t>Акрил ночник круг</t>
  </si>
  <si>
    <t>Ank</t>
  </si>
  <si>
    <t>Акрил серьги прямоугольник</t>
  </si>
  <si>
    <t>Asp</t>
  </si>
  <si>
    <t>Акрил серьги круг</t>
  </si>
  <si>
    <t>Ask</t>
  </si>
  <si>
    <t>Акрил значок</t>
  </si>
  <si>
    <t>Azk</t>
  </si>
  <si>
    <t>Акрил кулон</t>
  </si>
  <si>
    <t>Akp</t>
  </si>
  <si>
    <t>Жетоны</t>
  </si>
  <si>
    <t>K</t>
  </si>
  <si>
    <t>Жетон обычный гравировка</t>
  </si>
  <si>
    <t>Жетон обычный уф</t>
  </si>
  <si>
    <t>Kuf</t>
  </si>
  <si>
    <t>Обложки</t>
  </si>
  <si>
    <t>O</t>
  </si>
  <si>
    <t>Обложка на паспорта экокожа</t>
  </si>
  <si>
    <t>Обложка на студенческий экокожа</t>
  </si>
  <si>
    <t>Osk</t>
  </si>
  <si>
    <t>Блокноты</t>
  </si>
  <si>
    <t>N</t>
  </si>
  <si>
    <t>Блокнот хдф твердый А5</t>
  </si>
  <si>
    <t>Зажигалки</t>
  </si>
  <si>
    <t>Z</t>
  </si>
  <si>
    <t>Зажигалка бензиновая металл</t>
  </si>
  <si>
    <t>Zbn</t>
  </si>
  <si>
    <t>Зажигалка электрическая металл</t>
  </si>
  <si>
    <t>Zel</t>
  </si>
  <si>
    <t>Кружки</t>
  </si>
  <si>
    <t>C</t>
  </si>
  <si>
    <t>Кружка керамическая белая</t>
  </si>
  <si>
    <t>Дерево</t>
  </si>
  <si>
    <t>W</t>
  </si>
  <si>
    <t>Мини-стела</t>
  </si>
  <si>
    <t>Wms</t>
  </si>
  <si>
    <t>Панно обычное</t>
  </si>
  <si>
    <t>Wpo</t>
  </si>
  <si>
    <t>Подвески</t>
  </si>
  <si>
    <t>P</t>
  </si>
  <si>
    <t>Подвеска круг</t>
  </si>
  <si>
    <t>Pkr</t>
  </si>
  <si>
    <t>Подвеска столбик</t>
  </si>
  <si>
    <t>Psb</t>
  </si>
  <si>
    <t>Другое</t>
  </si>
  <si>
    <t>X</t>
  </si>
  <si>
    <t>Шеврон прямоугольный</t>
  </si>
  <si>
    <t>Xsv</t>
  </si>
  <si>
    <t>Презервативы</t>
  </si>
  <si>
    <t>Xxx</t>
  </si>
  <si>
    <t>Брелок кожаный с металл. вставкой</t>
  </si>
  <si>
    <t>Xkm</t>
  </si>
  <si>
    <t>Книжка-брелок</t>
  </si>
  <si>
    <t>Xkb</t>
  </si>
  <si>
    <t>Бейдж</t>
  </si>
  <si>
    <t>Xbg</t>
  </si>
  <si>
    <t>Печать на принтере</t>
  </si>
  <si>
    <t>Y</t>
  </si>
  <si>
    <t>Постер А3 3 шт в комплекте</t>
  </si>
  <si>
    <t>Ypz</t>
  </si>
  <si>
    <t>Постер А3 1 шт в комплекте</t>
  </si>
  <si>
    <t>Ypr</t>
  </si>
  <si>
    <t>Ручки</t>
  </si>
  <si>
    <t>R</t>
  </si>
  <si>
    <t>Ручка бамбук 1 шт</t>
  </si>
  <si>
    <t>Rbc</t>
  </si>
  <si>
    <t>Ручка бамбук 4 шт</t>
  </si>
  <si>
    <t>Rbx</t>
  </si>
  <si>
    <t>Ручка черная (без пимпочки) 1 шт</t>
  </si>
  <si>
    <t>Ryc</t>
  </si>
  <si>
    <t>Ручка черная (без пимпочки) 4 шт</t>
  </si>
  <si>
    <t>Ryx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</si>
</sst>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12"/>
      <color rgb="FF999999"/>
      <name val="Calibri"/>
      <charset val="204"/>
      <scheme val="minor"/>
    </font>
    <font>
      <sz val="12"/>
      <color theme="1"/>
      <name val="Calibri"/>
      <charset val="204"/>
      <scheme val="minor"/>
    </font>
    <font>
      <sz val="11"/>
      <color theme="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 wrapText="1"/>
    </xf>
    <xf numFmtId="49" fontId="0" fillId="0" borderId="0" xfId="0" applyNumberFormat="1" applyAlignment="1">
      <alignment horizontal="left" wrapText="1"/>
    </xf>
    <xf numFmtId="0" fontId="3" fillId="0" borderId="1" xfId="0" applyFont="1" applyBorder="1" applyAlignment="1">
      <alignment horizontal="left" wrapText="1"/>
    </xf>
    <xf numFmtId="49" fontId="0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4" fillId="3" borderId="0" xfId="0" applyFont="1" applyFill="1" applyAlignment="1">
      <alignment horizontal="left" wrapText="1"/>
    </xf>
    <xf numFmtId="0" fontId="0" fillId="0" borderId="0" xfId="0" applyFill="1" applyAlignment="1">
      <alignment horizontal="left" wrapText="1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0" borderId="0" xfId="0" applyFill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4"/>
  <sheetViews>
    <sheetView tabSelected="1" topLeftCell="C236" workbookViewId="0">
      <selection activeCell="L264" sqref="L264"/>
    </sheetView>
  </sheetViews>
  <sheetFormatPr defaultColWidth="10" defaultRowHeight="14.4"/>
  <cols>
    <col min="1" max="1" width="8.88888888888889" style="5" customWidth="1"/>
    <col min="2" max="2" width="3.66666666666667" style="6" customWidth="1"/>
    <col min="3" max="3" width="15.3333333333333" style="6" customWidth="1"/>
    <col min="4" max="4" width="11.4351851851852" style="7" customWidth="1"/>
    <col min="5" max="5" width="15.5555555555556" style="6" customWidth="1"/>
    <col min="6" max="6" width="11.3333333333333" style="6" customWidth="1"/>
    <col min="7" max="7" width="9.88888888888889" style="8" customWidth="1"/>
    <col min="8" max="8" width="28.1018518518519" style="6" customWidth="1"/>
    <col min="9" max="9" width="7.55555555555556" style="6" customWidth="1"/>
    <col min="10" max="10" width="29.6666666666667" style="6" customWidth="1"/>
    <col min="11" max="11" width="10" style="6"/>
    <col min="12" max="12" width="66.8888888888889" style="6" customWidth="1"/>
    <col min="13" max="15" width="10" style="6"/>
    <col min="16" max="16" width="8.88888888888889" style="6" customWidth="1"/>
    <col min="17" max="16384" width="10" style="6"/>
  </cols>
  <sheetData>
    <row r="1" ht="39" customHeight="1" spans="1:12">
      <c r="A1" s="9" t="s">
        <v>0</v>
      </c>
      <c r="B1" s="10"/>
      <c r="C1" s="9" t="s">
        <v>1</v>
      </c>
      <c r="D1" s="9" t="s">
        <v>2</v>
      </c>
      <c r="E1" s="9" t="s">
        <v>3</v>
      </c>
      <c r="F1" s="9" t="s">
        <v>4</v>
      </c>
      <c r="G1" s="11" t="s">
        <v>5</v>
      </c>
      <c r="H1" s="9" t="s">
        <v>6</v>
      </c>
      <c r="I1" s="17"/>
      <c r="J1" s="17" t="s">
        <v>7</v>
      </c>
      <c r="K1" s="17"/>
      <c r="L1" s="17" t="s">
        <v>8</v>
      </c>
    </row>
    <row r="2" ht="16.35" spans="1:12">
      <c r="A2" s="12" t="s">
        <v>9</v>
      </c>
      <c r="B2" s="8"/>
      <c r="C2" s="13" t="s">
        <v>10</v>
      </c>
      <c r="D2" s="14" t="s">
        <v>11</v>
      </c>
      <c r="E2" s="8" t="s">
        <v>12</v>
      </c>
      <c r="F2" s="8" t="s">
        <v>13</v>
      </c>
      <c r="G2" s="8" t="s">
        <v>14</v>
      </c>
      <c r="H2" s="8" t="s">
        <v>15</v>
      </c>
      <c r="J2" s="8" t="str">
        <f t="shared" ref="J2:J65" si="0">C2&amp;D2&amp;E2&amp;F2&amp;G2</f>
        <v>NtrDeathG01.PQTC.26.02.26</v>
      </c>
      <c r="L2" s="6" t="str">
        <f t="shared" ref="L2:L65" si="1">A2&amp;" "&amp;C2&amp;D2&amp;E2&amp;F2&amp;G2&amp;" "&amp;H2</f>
        <v>01 NtrDeathG01.PQTC.26.02.26 сериал Игра Смерти</v>
      </c>
    </row>
    <row r="3" ht="16.35" spans="1:12">
      <c r="A3" s="12" t="s">
        <v>16</v>
      </c>
      <c r="B3" s="8"/>
      <c r="C3" s="13" t="s">
        <v>10</v>
      </c>
      <c r="D3" s="14" t="s">
        <v>11</v>
      </c>
      <c r="E3" s="8" t="s">
        <v>17</v>
      </c>
      <c r="F3" s="8" t="s">
        <v>13</v>
      </c>
      <c r="G3" s="8" t="s">
        <v>14</v>
      </c>
      <c r="H3" s="8" t="s">
        <v>15</v>
      </c>
      <c r="J3" s="8" t="str">
        <f t="shared" si="0"/>
        <v>NtrDeathG02.PQTC.26.02.26</v>
      </c>
      <c r="L3" s="6" t="str">
        <f t="shared" si="1"/>
        <v>02 NtrDeathG02.PQTC.26.02.26 сериал Игра Смерти</v>
      </c>
    </row>
    <row r="4" ht="16.35" spans="1:12">
      <c r="A4" s="12" t="s">
        <v>18</v>
      </c>
      <c r="B4" s="8"/>
      <c r="C4" s="13" t="s">
        <v>19</v>
      </c>
      <c r="D4" s="14" t="s">
        <v>20</v>
      </c>
      <c r="E4" s="8" t="s">
        <v>21</v>
      </c>
      <c r="F4" s="8" t="s">
        <v>13</v>
      </c>
      <c r="G4" s="8" t="s">
        <v>14</v>
      </c>
      <c r="H4" s="8" t="s">
        <v>22</v>
      </c>
      <c r="J4" s="8" t="str">
        <f t="shared" si="0"/>
        <v>KgrMadona03.PQTC.26.02.26</v>
      </c>
      <c r="L4" s="6" t="str">
        <f t="shared" si="1"/>
        <v>03 KgrMadona03.PQTC.26.02.26 Мадонна</v>
      </c>
    </row>
    <row r="5" ht="16.35" spans="1:12">
      <c r="A5" s="12" t="s">
        <v>23</v>
      </c>
      <c r="B5" s="8"/>
      <c r="C5" s="13" t="s">
        <v>19</v>
      </c>
      <c r="D5" s="14" t="s">
        <v>20</v>
      </c>
      <c r="E5" s="8" t="s">
        <v>24</v>
      </c>
      <c r="F5" s="8" t="s">
        <v>13</v>
      </c>
      <c r="G5" s="8" t="s">
        <v>14</v>
      </c>
      <c r="H5" s="8" t="s">
        <v>22</v>
      </c>
      <c r="J5" s="8" t="str">
        <f t="shared" si="0"/>
        <v>KgrMadona04.PQTC.26.02.26</v>
      </c>
      <c r="L5" s="6" t="str">
        <f t="shared" si="1"/>
        <v>04 KgrMadona04.PQTC.26.02.26 Мадонна</v>
      </c>
    </row>
    <row r="6" ht="16.35" spans="1:12">
      <c r="A6" s="12" t="s">
        <v>25</v>
      </c>
      <c r="B6" s="8"/>
      <c r="C6" s="13" t="s">
        <v>19</v>
      </c>
      <c r="D6" s="14" t="s">
        <v>20</v>
      </c>
      <c r="E6" s="8" t="s">
        <v>26</v>
      </c>
      <c r="F6" s="8" t="s">
        <v>13</v>
      </c>
      <c r="G6" s="8" t="s">
        <v>14</v>
      </c>
      <c r="H6" s="8" t="s">
        <v>22</v>
      </c>
      <c r="J6" s="8" t="str">
        <f t="shared" si="0"/>
        <v>KgrMadona05.PQTC.26.02.26</v>
      </c>
      <c r="L6" s="6" t="str">
        <f t="shared" si="1"/>
        <v>05 KgrMadona05.PQTC.26.02.26 Мадонна</v>
      </c>
    </row>
    <row r="7" ht="16.35" spans="1:12">
      <c r="A7" s="12" t="s">
        <v>27</v>
      </c>
      <c r="B7" s="8"/>
      <c r="C7" s="13" t="s">
        <v>10</v>
      </c>
      <c r="D7" s="14" t="s">
        <v>11</v>
      </c>
      <c r="E7" s="8" t="s">
        <v>28</v>
      </c>
      <c r="F7" s="8" t="s">
        <v>13</v>
      </c>
      <c r="G7" s="8" t="s">
        <v>14</v>
      </c>
      <c r="H7" s="8" t="s">
        <v>15</v>
      </c>
      <c r="J7" s="8" t="str">
        <f t="shared" si="0"/>
        <v>NtrDeathG06.PQTC.26.02.26</v>
      </c>
      <c r="L7" s="6" t="str">
        <f t="shared" si="1"/>
        <v>06 NtrDeathG06.PQTC.26.02.26 сериал Игра Смерти</v>
      </c>
    </row>
    <row r="8" ht="16.35" spans="1:12">
      <c r="A8" s="12" t="s">
        <v>29</v>
      </c>
      <c r="B8" s="8"/>
      <c r="C8" s="13" t="s">
        <v>10</v>
      </c>
      <c r="D8" s="14" t="s">
        <v>11</v>
      </c>
      <c r="E8" s="8" t="s">
        <v>30</v>
      </c>
      <c r="F8" s="8" t="s">
        <v>13</v>
      </c>
      <c r="G8" s="8" t="s">
        <v>14</v>
      </c>
      <c r="H8" s="8" t="s">
        <v>15</v>
      </c>
      <c r="J8" s="8" t="str">
        <f t="shared" si="0"/>
        <v>NtrDeathG07.PQTC.26.02.26</v>
      </c>
      <c r="L8" s="6" t="str">
        <f t="shared" si="1"/>
        <v>07 NtrDeathG07.PQTC.26.02.26 сериал Игра Смерти</v>
      </c>
    </row>
    <row r="9" ht="16.35" spans="1:12">
      <c r="A9" s="12" t="s">
        <v>31</v>
      </c>
      <c r="B9" s="8"/>
      <c r="C9" s="13" t="s">
        <v>10</v>
      </c>
      <c r="D9" s="14" t="s">
        <v>11</v>
      </c>
      <c r="E9" s="8" t="s">
        <v>32</v>
      </c>
      <c r="F9" s="8" t="s">
        <v>13</v>
      </c>
      <c r="G9" s="8" t="s">
        <v>14</v>
      </c>
      <c r="H9" s="8" t="s">
        <v>15</v>
      </c>
      <c r="J9" s="8" t="str">
        <f t="shared" si="0"/>
        <v>NtrDeathG08.PQTC.26.02.26</v>
      </c>
      <c r="L9" s="6" t="str">
        <f t="shared" si="1"/>
        <v>08 NtrDeathG08.PQTC.26.02.26 сериал Игра Смерти</v>
      </c>
    </row>
    <row r="10" ht="16.35" spans="1:12">
      <c r="A10" s="12" t="s">
        <v>33</v>
      </c>
      <c r="B10" s="8"/>
      <c r="C10" s="13" t="s">
        <v>19</v>
      </c>
      <c r="D10" s="14" t="s">
        <v>34</v>
      </c>
      <c r="E10" s="8" t="s">
        <v>35</v>
      </c>
      <c r="F10" s="8" t="s">
        <v>13</v>
      </c>
      <c r="G10" s="8" t="s">
        <v>14</v>
      </c>
      <c r="H10" s="8" t="s">
        <v>36</v>
      </c>
      <c r="J10" s="8" t="str">
        <f t="shared" si="0"/>
        <v>KgrBMWTou09.PQTC.26.02.26</v>
      </c>
      <c r="L10" s="6" t="str">
        <f t="shared" si="1"/>
        <v>09 KgrBMWTou09.PQTC.26.02.26 BMW М5 Touring</v>
      </c>
    </row>
    <row r="11" ht="16.35" spans="1:12">
      <c r="A11" s="12" t="s">
        <v>37</v>
      </c>
      <c r="B11" s="8"/>
      <c r="C11" s="13" t="s">
        <v>19</v>
      </c>
      <c r="D11" s="14" t="s">
        <v>34</v>
      </c>
      <c r="E11" s="8" t="s">
        <v>38</v>
      </c>
      <c r="F11" s="8" t="s">
        <v>13</v>
      </c>
      <c r="G11" s="8" t="s">
        <v>14</v>
      </c>
      <c r="H11" s="8" t="s">
        <v>36</v>
      </c>
      <c r="J11" s="8" t="str">
        <f t="shared" si="0"/>
        <v>KgrBMWTou10.PQTC.26.02.26</v>
      </c>
      <c r="L11" s="6" t="str">
        <f t="shared" si="1"/>
        <v>10 KgrBMWTou10.PQTC.26.02.26 BMW М5 Touring</v>
      </c>
    </row>
    <row r="12" spans="1:12">
      <c r="A12" s="12" t="s">
        <v>39</v>
      </c>
      <c r="C12" s="6" t="s">
        <v>40</v>
      </c>
      <c r="D12" s="7" t="s">
        <v>41</v>
      </c>
      <c r="E12" s="6" t="s">
        <v>42</v>
      </c>
      <c r="F12" s="8" t="s">
        <v>13</v>
      </c>
      <c r="G12" s="8" t="s">
        <v>43</v>
      </c>
      <c r="H12" s="6" t="s">
        <v>44</v>
      </c>
      <c r="J12" s="8" t="str">
        <f t="shared" si="0"/>
        <v>CupBlaLov11.PQTC.28.02.26</v>
      </c>
      <c r="L12" s="6" t="str">
        <f t="shared" si="1"/>
        <v>11 CupBlaLov11.PQTC.28.02.26 Сериал Чёрная любовь</v>
      </c>
    </row>
    <row r="13" spans="1:12">
      <c r="A13" s="12" t="s">
        <v>45</v>
      </c>
      <c r="C13" s="6" t="s">
        <v>40</v>
      </c>
      <c r="D13" s="7" t="s">
        <v>41</v>
      </c>
      <c r="E13" s="6" t="s">
        <v>46</v>
      </c>
      <c r="F13" s="8" t="s">
        <v>13</v>
      </c>
      <c r="G13" s="8" t="s">
        <v>43</v>
      </c>
      <c r="H13" s="6" t="s">
        <v>44</v>
      </c>
      <c r="J13" s="8" t="str">
        <f t="shared" si="0"/>
        <v>CupBlaLov12.PQTC.28.02.26</v>
      </c>
      <c r="L13" s="6" t="str">
        <f t="shared" si="1"/>
        <v>12 CupBlaLov12.PQTC.28.02.26 Сериал Чёрная любовь</v>
      </c>
    </row>
    <row r="14" spans="1:12">
      <c r="A14" s="12" t="s">
        <v>47</v>
      </c>
      <c r="C14" s="6" t="s">
        <v>40</v>
      </c>
      <c r="D14" s="7" t="s">
        <v>41</v>
      </c>
      <c r="E14" s="6" t="s">
        <v>48</v>
      </c>
      <c r="F14" s="8" t="s">
        <v>13</v>
      </c>
      <c r="G14" s="8" t="s">
        <v>43</v>
      </c>
      <c r="H14" s="6" t="s">
        <v>44</v>
      </c>
      <c r="J14" s="8" t="str">
        <f t="shared" si="0"/>
        <v>CupBlaLov13.PQTC.28.02.26</v>
      </c>
      <c r="L14" s="6" t="str">
        <f t="shared" si="1"/>
        <v>13 CupBlaLov13.PQTC.28.02.26 Сериал Чёрная любовь</v>
      </c>
    </row>
    <row r="15" spans="1:12">
      <c r="A15" s="12" t="s">
        <v>49</v>
      </c>
      <c r="C15" s="6" t="s">
        <v>40</v>
      </c>
      <c r="D15" s="7" t="s">
        <v>50</v>
      </c>
      <c r="E15" s="6" t="s">
        <v>51</v>
      </c>
      <c r="F15" s="8" t="s">
        <v>13</v>
      </c>
      <c r="G15" s="8" t="s">
        <v>43</v>
      </c>
      <c r="H15" s="6" t="s">
        <v>52</v>
      </c>
      <c r="J15" s="8" t="str">
        <f t="shared" si="0"/>
        <v>CupHowYou14.PQTC.28.02.26</v>
      </c>
      <c r="L15" s="6" t="str">
        <f t="shared" si="1"/>
        <v>14 CupHowYou14.PQTC.28.02.26 Сериал Повсюду Ты</v>
      </c>
    </row>
    <row r="16" spans="1:12">
      <c r="A16" s="12" t="s">
        <v>53</v>
      </c>
      <c r="C16" s="6" t="s">
        <v>40</v>
      </c>
      <c r="D16" s="7" t="s">
        <v>50</v>
      </c>
      <c r="E16" s="6" t="s">
        <v>54</v>
      </c>
      <c r="F16" s="8" t="s">
        <v>13</v>
      </c>
      <c r="G16" s="8" t="s">
        <v>43</v>
      </c>
      <c r="H16" s="6" t="s">
        <v>52</v>
      </c>
      <c r="J16" s="8" t="str">
        <f t="shared" si="0"/>
        <v>CupHowYou15.PQTC.28.02.26</v>
      </c>
      <c r="L16" s="6" t="str">
        <f t="shared" si="1"/>
        <v>15 CupHowYou15.PQTC.28.02.26 Сериал Повсюду Ты</v>
      </c>
    </row>
    <row r="17" spans="1:12">
      <c r="A17" s="12" t="s">
        <v>55</v>
      </c>
      <c r="C17" s="6" t="s">
        <v>40</v>
      </c>
      <c r="D17" s="7" t="s">
        <v>50</v>
      </c>
      <c r="E17" s="6" t="s">
        <v>56</v>
      </c>
      <c r="F17" s="8" t="s">
        <v>13</v>
      </c>
      <c r="G17" s="8" t="s">
        <v>43</v>
      </c>
      <c r="H17" s="6" t="s">
        <v>52</v>
      </c>
      <c r="J17" s="8" t="str">
        <f t="shared" si="0"/>
        <v>CupHowYou16.PQTC.28.02.26</v>
      </c>
      <c r="L17" s="6" t="str">
        <f t="shared" si="1"/>
        <v>16 CupHowYou16.PQTC.28.02.26 Сериал Повсюду Ты</v>
      </c>
    </row>
    <row r="18" spans="1:12">
      <c r="A18" s="12" t="s">
        <v>57</v>
      </c>
      <c r="C18" s="6" t="s">
        <v>10</v>
      </c>
      <c r="D18" s="7" t="s">
        <v>58</v>
      </c>
      <c r="E18" s="6" t="s">
        <v>59</v>
      </c>
      <c r="F18" s="8" t="s">
        <v>13</v>
      </c>
      <c r="G18" s="8" t="s">
        <v>43</v>
      </c>
      <c r="H18" s="6" t="s">
        <v>60</v>
      </c>
      <c r="J18" s="8" t="str">
        <f t="shared" si="0"/>
        <v>NtrNice17.PQTC.28.02.26</v>
      </c>
      <c r="L18" s="6" t="str">
        <f t="shared" si="1"/>
        <v>17 NtrNice17.PQTC.28.02.26 Ницца Negresco Hotel</v>
      </c>
    </row>
    <row r="19" spans="1:12">
      <c r="A19" s="12" t="s">
        <v>61</v>
      </c>
      <c r="C19" s="6" t="s">
        <v>10</v>
      </c>
      <c r="D19" s="7" t="s">
        <v>58</v>
      </c>
      <c r="E19" s="6" t="s">
        <v>62</v>
      </c>
      <c r="F19" s="8" t="s">
        <v>13</v>
      </c>
      <c r="G19" s="8" t="s">
        <v>43</v>
      </c>
      <c r="H19" s="6" t="s">
        <v>63</v>
      </c>
      <c r="J19" s="8" t="str">
        <f t="shared" si="0"/>
        <v>NtrNice18.PQTC.28.02.26</v>
      </c>
      <c r="L19" s="6" t="str">
        <f t="shared" si="1"/>
        <v>18 NtrNice18.PQTC.28.02.26 Лазурный берег Ниццы</v>
      </c>
    </row>
    <row r="20" spans="1:12">
      <c r="A20" s="12" t="s">
        <v>64</v>
      </c>
      <c r="C20" s="6" t="s">
        <v>10</v>
      </c>
      <c r="D20" s="7" t="s">
        <v>58</v>
      </c>
      <c r="E20" s="6" t="s">
        <v>65</v>
      </c>
      <c r="F20" s="8" t="s">
        <v>13</v>
      </c>
      <c r="G20" s="8" t="s">
        <v>43</v>
      </c>
      <c r="H20" s="6" t="s">
        <v>66</v>
      </c>
      <c r="J20" s="8" t="str">
        <f t="shared" si="0"/>
        <v>NtrNice19.PQTC.28.02.26</v>
      </c>
      <c r="L20" s="6" t="str">
        <f t="shared" si="1"/>
        <v>19 NtrNice19.PQTC.28.02.26 Ницца Нотр-Дам</v>
      </c>
    </row>
    <row r="21" spans="1:12">
      <c r="A21" s="12" t="s">
        <v>67</v>
      </c>
      <c r="C21" s="6" t="s">
        <v>10</v>
      </c>
      <c r="D21" s="7" t="s">
        <v>58</v>
      </c>
      <c r="E21" s="6" t="s">
        <v>68</v>
      </c>
      <c r="F21" s="8" t="s">
        <v>13</v>
      </c>
      <c r="G21" s="8" t="s">
        <v>43</v>
      </c>
      <c r="H21" s="6" t="s">
        <v>69</v>
      </c>
      <c r="J21" s="8" t="str">
        <f t="shared" si="0"/>
        <v>NtrNice20.PQTC.28.02.26</v>
      </c>
      <c r="L21" s="6" t="str">
        <f t="shared" si="1"/>
        <v>20 NtrNice20.PQTC.28.02.26 Ницца церковь Нотр-Дам-дю-Порт</v>
      </c>
    </row>
    <row r="22" spans="1:12">
      <c r="A22" s="12" t="s">
        <v>70</v>
      </c>
      <c r="C22" s="6" t="s">
        <v>10</v>
      </c>
      <c r="D22" s="7" t="s">
        <v>58</v>
      </c>
      <c r="E22" s="6" t="s">
        <v>71</v>
      </c>
      <c r="F22" s="8" t="s">
        <v>13</v>
      </c>
      <c r="G22" s="8" t="s">
        <v>43</v>
      </c>
      <c r="H22" s="6" t="s">
        <v>63</v>
      </c>
      <c r="J22" s="8" t="str">
        <f t="shared" si="0"/>
        <v>NtrNice21.PQTC.28.02.26</v>
      </c>
      <c r="L22" s="6" t="str">
        <f t="shared" si="1"/>
        <v>21 NtrNice21.PQTC.28.02.26 Лазурный берег Ниццы</v>
      </c>
    </row>
    <row r="23" spans="1:12">
      <c r="A23" s="12" t="s">
        <v>72</v>
      </c>
      <c r="C23" s="6" t="s">
        <v>10</v>
      </c>
      <c r="D23" s="7" t="s">
        <v>58</v>
      </c>
      <c r="E23" s="6" t="s">
        <v>73</v>
      </c>
      <c r="F23" s="8" t="s">
        <v>13</v>
      </c>
      <c r="G23" s="8" t="s">
        <v>43</v>
      </c>
      <c r="H23" s="6" t="s">
        <v>74</v>
      </c>
      <c r="J23" s="8" t="str">
        <f t="shared" si="0"/>
        <v>NtrNice22.PQTC.28.02.26</v>
      </c>
      <c r="L23" s="6" t="str">
        <f t="shared" si="1"/>
        <v>22 NtrNice22.PQTC.28.02.26 Ницца Фонтан Апполона</v>
      </c>
    </row>
    <row r="24" spans="1:12">
      <c r="A24" s="5">
        <v>23</v>
      </c>
      <c r="C24" s="6" t="s">
        <v>10</v>
      </c>
      <c r="D24" s="7" t="s">
        <v>75</v>
      </c>
      <c r="E24" s="6" t="s">
        <v>76</v>
      </c>
      <c r="F24" s="8" t="s">
        <v>13</v>
      </c>
      <c r="G24" s="8" t="s">
        <v>77</v>
      </c>
      <c r="H24" s="6" t="s">
        <v>78</v>
      </c>
      <c r="J24" s="8" t="str">
        <f t="shared" si="0"/>
        <v>NtrSAOPAU23.PQTC.01.03.26</v>
      </c>
      <c r="L24" s="6" t="str">
        <f t="shared" si="1"/>
        <v>23 NtrSAOPAU23.PQTC.01.03.26 Сан Пауло Кафедральный собор</v>
      </c>
    </row>
    <row r="25" spans="1:12">
      <c r="A25" s="5">
        <v>24</v>
      </c>
      <c r="C25" s="6" t="s">
        <v>10</v>
      </c>
      <c r="D25" s="7" t="s">
        <v>75</v>
      </c>
      <c r="E25" s="6" t="s">
        <v>79</v>
      </c>
      <c r="F25" s="8" t="s">
        <v>13</v>
      </c>
      <c r="G25" s="8" t="s">
        <v>77</v>
      </c>
      <c r="H25" s="6" t="s">
        <v>78</v>
      </c>
      <c r="J25" s="8" t="str">
        <f t="shared" si="0"/>
        <v>NtrSAOPAU24.PQTC.01.03.26</v>
      </c>
      <c r="L25" s="6" t="str">
        <f t="shared" si="1"/>
        <v>24 NtrSAOPAU24.PQTC.01.03.26 Сан Пауло Кафедральный собор</v>
      </c>
    </row>
    <row r="26" spans="1:12">
      <c r="A26" s="5">
        <v>25</v>
      </c>
      <c r="C26" s="6" t="s">
        <v>10</v>
      </c>
      <c r="D26" s="7" t="s">
        <v>75</v>
      </c>
      <c r="E26" s="6" t="s">
        <v>80</v>
      </c>
      <c r="F26" s="8" t="s">
        <v>13</v>
      </c>
      <c r="G26" s="8" t="s">
        <v>77</v>
      </c>
      <c r="H26" s="6" t="s">
        <v>81</v>
      </c>
      <c r="J26" s="8" t="str">
        <f t="shared" si="0"/>
        <v>NtrSAOPAU25.PQTC.01.03.26</v>
      </c>
      <c r="L26" s="6" t="str">
        <f t="shared" si="1"/>
        <v>25 NtrSAOPAU25.PQTC.01.03.26 Сан Пауло пляж Сантос</v>
      </c>
    </row>
    <row r="27" spans="1:12">
      <c r="A27" s="5">
        <v>26</v>
      </c>
      <c r="C27" s="6" t="s">
        <v>10</v>
      </c>
      <c r="D27" s="7" t="s">
        <v>75</v>
      </c>
      <c r="E27" s="6" t="s">
        <v>82</v>
      </c>
      <c r="F27" s="8" t="s">
        <v>13</v>
      </c>
      <c r="G27" s="8" t="s">
        <v>77</v>
      </c>
      <c r="H27" s="6" t="s">
        <v>83</v>
      </c>
      <c r="J27" s="8" t="str">
        <f t="shared" si="0"/>
        <v>NtrSAOPAU26.PQTC.01.03.26</v>
      </c>
      <c r="L27" s="6" t="str">
        <f t="shared" si="1"/>
        <v>26 NtrSAOPAU26.PQTC.01.03.26 Сан Пауло Мост Октавио Фриас де Оливейра</v>
      </c>
    </row>
    <row r="28" spans="1:12">
      <c r="A28" s="5">
        <v>27</v>
      </c>
      <c r="C28" s="6" t="s">
        <v>10</v>
      </c>
      <c r="D28" s="7" t="s">
        <v>75</v>
      </c>
      <c r="E28" s="6" t="s">
        <v>84</v>
      </c>
      <c r="F28" s="8" t="s">
        <v>13</v>
      </c>
      <c r="G28" s="8" t="s">
        <v>77</v>
      </c>
      <c r="H28" s="6" t="s">
        <v>85</v>
      </c>
      <c r="J28" s="8" t="str">
        <f t="shared" si="0"/>
        <v>NtrSAOPAU27.PQTC.01.03.26</v>
      </c>
      <c r="L28" s="6" t="str">
        <f t="shared" si="1"/>
        <v>27 NtrSAOPAU27.PQTC.01.03.26 Сан Пауло Музей Паулиста</v>
      </c>
    </row>
    <row r="29" spans="1:12">
      <c r="A29" s="5">
        <v>28</v>
      </c>
      <c r="C29" s="6" t="s">
        <v>10</v>
      </c>
      <c r="D29" s="7" t="s">
        <v>86</v>
      </c>
      <c r="E29" s="6" t="s">
        <v>87</v>
      </c>
      <c r="F29" s="8" t="s">
        <v>13</v>
      </c>
      <c r="G29" s="8" t="s">
        <v>77</v>
      </c>
      <c r="H29" s="6" t="s">
        <v>88</v>
      </c>
      <c r="J29" s="8" t="str">
        <f t="shared" si="0"/>
        <v>NtrABUDHA28.PQTC.01.03.26</v>
      </c>
      <c r="L29" s="6" t="str">
        <f t="shared" si="1"/>
        <v>28 NtrABUDHA28.PQTC.01.03.26 Абу-Даби Мечеть шейха Заида</v>
      </c>
    </row>
    <row r="30" spans="1:12">
      <c r="A30" s="5">
        <v>29</v>
      </c>
      <c r="C30" s="6" t="s">
        <v>10</v>
      </c>
      <c r="D30" s="7" t="s">
        <v>86</v>
      </c>
      <c r="E30" s="6" t="s">
        <v>89</v>
      </c>
      <c r="F30" s="8" t="s">
        <v>13</v>
      </c>
      <c r="G30" s="8" t="s">
        <v>77</v>
      </c>
      <c r="H30" s="6" t="s">
        <v>88</v>
      </c>
      <c r="J30" s="8" t="str">
        <f t="shared" si="0"/>
        <v>NtrABUDHA29.PQTC.01.03.26</v>
      </c>
      <c r="L30" s="6" t="str">
        <f t="shared" si="1"/>
        <v>29 NtrABUDHA29.PQTC.01.03.26 Абу-Даби Мечеть шейха Заида</v>
      </c>
    </row>
    <row r="31" spans="1:12">
      <c r="A31" s="5">
        <v>30</v>
      </c>
      <c r="C31" s="6" t="s">
        <v>10</v>
      </c>
      <c r="D31" s="7" t="s">
        <v>86</v>
      </c>
      <c r="E31" s="6" t="s">
        <v>90</v>
      </c>
      <c r="F31" s="8" t="s">
        <v>13</v>
      </c>
      <c r="G31" s="8" t="s">
        <v>77</v>
      </c>
      <c r="H31" s="6" t="s">
        <v>91</v>
      </c>
      <c r="J31" s="8" t="str">
        <f t="shared" si="0"/>
        <v>NtrABUDHA30.PQTC.01.03.26</v>
      </c>
      <c r="L31" s="6" t="str">
        <f t="shared" si="1"/>
        <v>30 NtrABUDHA30.PQTC.01.03.26 Небоскребы Абу-Даби</v>
      </c>
    </row>
    <row r="32" spans="1:12">
      <c r="A32" s="5">
        <v>31</v>
      </c>
      <c r="C32" s="6" t="s">
        <v>10</v>
      </c>
      <c r="D32" s="7" t="s">
        <v>86</v>
      </c>
      <c r="E32" s="6" t="s">
        <v>92</v>
      </c>
      <c r="F32" s="8" t="s">
        <v>13</v>
      </c>
      <c r="G32" s="8" t="s">
        <v>77</v>
      </c>
      <c r="H32" s="6" t="s">
        <v>91</v>
      </c>
      <c r="J32" s="8" t="str">
        <f t="shared" si="0"/>
        <v>NtrABUDHA31.PQTC.01.03.26</v>
      </c>
      <c r="L32" s="6" t="str">
        <f t="shared" si="1"/>
        <v>31 NtrABUDHA31.PQTC.01.03.26 Небоскребы Абу-Даби</v>
      </c>
    </row>
    <row r="33" spans="1:12">
      <c r="A33" s="5">
        <v>32</v>
      </c>
      <c r="C33" s="6" t="s">
        <v>10</v>
      </c>
      <c r="D33" s="7" t="s">
        <v>86</v>
      </c>
      <c r="E33" s="6" t="s">
        <v>93</v>
      </c>
      <c r="F33" s="8" t="s">
        <v>13</v>
      </c>
      <c r="G33" s="8" t="s">
        <v>77</v>
      </c>
      <c r="H33" s="6" t="s">
        <v>91</v>
      </c>
      <c r="J33" s="8" t="str">
        <f t="shared" si="0"/>
        <v>NtrABUDHA32.PQTC.01.03.26</v>
      </c>
      <c r="L33" s="6" t="str">
        <f t="shared" si="1"/>
        <v>32 NtrABUDHA32.PQTC.01.03.26 Небоскребы Абу-Даби</v>
      </c>
    </row>
    <row r="34" spans="1:12">
      <c r="A34" s="5">
        <v>33</v>
      </c>
      <c r="C34" s="6" t="s">
        <v>10</v>
      </c>
      <c r="D34" s="7" t="s">
        <v>86</v>
      </c>
      <c r="E34" s="6" t="s">
        <v>94</v>
      </c>
      <c r="F34" s="8" t="s">
        <v>13</v>
      </c>
      <c r="G34" s="8" t="s">
        <v>77</v>
      </c>
      <c r="H34" s="6" t="s">
        <v>91</v>
      </c>
      <c r="J34" s="8" t="str">
        <f t="shared" si="0"/>
        <v>NtrABUDHA33.PQTC.01.03.26</v>
      </c>
      <c r="L34" s="6" t="str">
        <f t="shared" si="1"/>
        <v>33 NtrABUDHA33.PQTC.01.03.26 Небоскребы Абу-Даби</v>
      </c>
    </row>
    <row r="35" spans="1:12">
      <c r="A35" s="5">
        <v>34</v>
      </c>
      <c r="C35" s="6" t="s">
        <v>10</v>
      </c>
      <c r="D35" s="7" t="s">
        <v>86</v>
      </c>
      <c r="E35" s="6" t="s">
        <v>95</v>
      </c>
      <c r="F35" s="8" t="s">
        <v>13</v>
      </c>
      <c r="G35" s="8" t="s">
        <v>77</v>
      </c>
      <c r="H35" s="6" t="s">
        <v>96</v>
      </c>
      <c r="J35" s="8" t="str">
        <f t="shared" si="0"/>
        <v>NtrABUDHA34.PQTC.01.03.26</v>
      </c>
      <c r="L35" s="6" t="str">
        <f t="shared" si="1"/>
        <v>34 NtrABUDHA34.PQTC.01.03.26 Абу-Даби</v>
      </c>
    </row>
    <row r="36" spans="1:12">
      <c r="A36" s="5">
        <v>35</v>
      </c>
      <c r="C36" s="6" t="s">
        <v>10</v>
      </c>
      <c r="D36" s="7" t="s">
        <v>86</v>
      </c>
      <c r="E36" s="6" t="s">
        <v>97</v>
      </c>
      <c r="F36" s="8" t="s">
        <v>13</v>
      </c>
      <c r="G36" s="8" t="s">
        <v>77</v>
      </c>
      <c r="H36" s="6" t="s">
        <v>98</v>
      </c>
      <c r="J36" s="8" t="str">
        <f t="shared" si="0"/>
        <v>NtrABUDHA35.PQTC.01.03.26</v>
      </c>
      <c r="L36" s="6" t="str">
        <f t="shared" si="1"/>
        <v>35 NtrABUDHA35.PQTC.01.03.26 Абу-Даби отель Rixos Marina </v>
      </c>
    </row>
    <row r="37" spans="1:12">
      <c r="A37" s="5">
        <v>36</v>
      </c>
      <c r="C37" s="6" t="s">
        <v>10</v>
      </c>
      <c r="D37" s="7" t="s">
        <v>86</v>
      </c>
      <c r="E37" s="6" t="s">
        <v>99</v>
      </c>
      <c r="F37" s="8" t="s">
        <v>13</v>
      </c>
      <c r="G37" s="8" t="s">
        <v>77</v>
      </c>
      <c r="H37" s="6" t="s">
        <v>88</v>
      </c>
      <c r="J37" s="8" t="str">
        <f t="shared" si="0"/>
        <v>NtrABUDHA36.PQTC.01.03.26</v>
      </c>
      <c r="L37" s="6" t="str">
        <f t="shared" si="1"/>
        <v>36 NtrABUDHA36.PQTC.01.03.26 Абу-Даби Мечеть шейха Заида</v>
      </c>
    </row>
    <row r="38" spans="1:12">
      <c r="A38" s="5">
        <v>37</v>
      </c>
      <c r="C38" s="6" t="s">
        <v>10</v>
      </c>
      <c r="D38" s="7" t="s">
        <v>86</v>
      </c>
      <c r="E38" s="6" t="s">
        <v>100</v>
      </c>
      <c r="F38" s="8" t="s">
        <v>13</v>
      </c>
      <c r="G38" s="8" t="s">
        <v>77</v>
      </c>
      <c r="H38" s="15" t="s">
        <v>101</v>
      </c>
      <c r="J38" s="8" t="str">
        <f t="shared" si="0"/>
        <v>NtrABUDHA37.PQTC.01.03.26</v>
      </c>
      <c r="L38" s="6" t="str">
        <f t="shared" si="1"/>
        <v>37 NtrABUDHA37.PQTC.01.03.26 Абу-Даби Лувр </v>
      </c>
    </row>
    <row r="39" spans="1:12">
      <c r="A39" s="5">
        <v>38</v>
      </c>
      <c r="C39" s="6" t="s">
        <v>10</v>
      </c>
      <c r="D39" s="16" t="s">
        <v>102</v>
      </c>
      <c r="E39" s="6" t="s">
        <v>103</v>
      </c>
      <c r="F39" s="8" t="s">
        <v>13</v>
      </c>
      <c r="G39" s="8" t="s">
        <v>104</v>
      </c>
      <c r="H39" s="6" t="s">
        <v>105</v>
      </c>
      <c r="J39" s="8" t="str">
        <f t="shared" si="0"/>
        <v>NtrPhuket38.PQTC.02.03.26</v>
      </c>
      <c r="L39" s="6" t="str">
        <f t="shared" si="1"/>
        <v>38 NtrPhuket38.PQTC.02.03.26 Ночной Пхукет</v>
      </c>
    </row>
    <row r="40" spans="1:12">
      <c r="A40" s="5">
        <v>39</v>
      </c>
      <c r="C40" s="6" t="s">
        <v>10</v>
      </c>
      <c r="D40" s="16" t="s">
        <v>102</v>
      </c>
      <c r="E40" s="6" t="s">
        <v>106</v>
      </c>
      <c r="F40" s="8" t="s">
        <v>13</v>
      </c>
      <c r="G40" s="8" t="s">
        <v>104</v>
      </c>
      <c r="H40" s="6" t="s">
        <v>107</v>
      </c>
      <c r="J40" s="8" t="str">
        <f t="shared" si="0"/>
        <v>NtrPhuket39.PQTC.02.03.26</v>
      </c>
      <c r="L40" s="6" t="str">
        <f t="shared" si="1"/>
        <v>39 NtrPhuket39.PQTC.02.03.26 Пхукет</v>
      </c>
    </row>
    <row r="41" spans="1:12">
      <c r="A41" s="5">
        <v>40</v>
      </c>
      <c r="C41" s="6" t="s">
        <v>10</v>
      </c>
      <c r="D41" s="16" t="s">
        <v>102</v>
      </c>
      <c r="E41" s="6" t="s">
        <v>108</v>
      </c>
      <c r="F41" s="8" t="s">
        <v>13</v>
      </c>
      <c r="G41" s="8" t="s">
        <v>104</v>
      </c>
      <c r="H41" s="6" t="s">
        <v>109</v>
      </c>
      <c r="J41" s="8" t="str">
        <f t="shared" si="0"/>
        <v>NtrPhuket40.PQTC.02.03.26</v>
      </c>
      <c r="L41" s="6" t="str">
        <f t="shared" si="1"/>
        <v>40 NtrPhuket40.PQTC.02.03.26 Пхукет пляж Фридом</v>
      </c>
    </row>
    <row r="42" spans="1:12">
      <c r="A42" s="5">
        <v>41</v>
      </c>
      <c r="C42" s="6" t="s">
        <v>10</v>
      </c>
      <c r="D42" s="16" t="s">
        <v>102</v>
      </c>
      <c r="E42" s="6" t="s">
        <v>110</v>
      </c>
      <c r="F42" s="8" t="s">
        <v>13</v>
      </c>
      <c r="G42" s="8" t="s">
        <v>104</v>
      </c>
      <c r="H42" s="6" t="s">
        <v>111</v>
      </c>
      <c r="J42" s="8" t="str">
        <f t="shared" si="0"/>
        <v>NtrPhuket41.PQTC.02.03.26</v>
      </c>
      <c r="L42" s="6" t="str">
        <f t="shared" si="1"/>
        <v>41 NtrPhuket41.PQTC.02.03.26 Пхукет пляж Рейли</v>
      </c>
    </row>
    <row r="43" spans="1:12">
      <c r="A43" s="5">
        <v>42</v>
      </c>
      <c r="C43" s="6" t="s">
        <v>10</v>
      </c>
      <c r="D43" s="16" t="s">
        <v>102</v>
      </c>
      <c r="E43" s="6" t="s">
        <v>112</v>
      </c>
      <c r="F43" s="8" t="s">
        <v>13</v>
      </c>
      <c r="G43" s="8" t="s">
        <v>104</v>
      </c>
      <c r="H43" s="6" t="s">
        <v>113</v>
      </c>
      <c r="J43" s="8" t="str">
        <f t="shared" si="0"/>
        <v>NtrPhuket42.PQTC.02.03.26</v>
      </c>
      <c r="L43" s="6" t="str">
        <f t="shared" si="1"/>
        <v>42 NtrPhuket42.PQTC.02.03.26 Пхукет пляж Най Тон</v>
      </c>
    </row>
    <row r="44" spans="1:12">
      <c r="A44" s="5">
        <v>43</v>
      </c>
      <c r="C44" s="6" t="s">
        <v>10</v>
      </c>
      <c r="D44" s="16" t="s">
        <v>102</v>
      </c>
      <c r="E44" s="6" t="s">
        <v>114</v>
      </c>
      <c r="F44" s="8" t="s">
        <v>13</v>
      </c>
      <c r="G44" s="8" t="s">
        <v>104</v>
      </c>
      <c r="H44" s="6" t="s">
        <v>115</v>
      </c>
      <c r="J44" s="8" t="str">
        <f t="shared" si="0"/>
        <v>NtrPhuket43.PQTC.02.03.26</v>
      </c>
      <c r="L44" s="6" t="str">
        <f t="shared" si="1"/>
        <v>43 NtrPhuket43.PQTC.02.03.26 Пхукет остров Джеймса Бонда</v>
      </c>
    </row>
    <row r="45" spans="1:12">
      <c r="A45" s="5">
        <v>44</v>
      </c>
      <c r="C45" s="6" t="s">
        <v>10</v>
      </c>
      <c r="D45" s="16" t="s">
        <v>102</v>
      </c>
      <c r="E45" s="6" t="s">
        <v>116</v>
      </c>
      <c r="F45" s="8" t="s">
        <v>13</v>
      </c>
      <c r="G45" s="8" t="s">
        <v>104</v>
      </c>
      <c r="H45" s="6" t="s">
        <v>117</v>
      </c>
      <c r="J45" s="8" t="str">
        <f t="shared" si="0"/>
        <v>NtrPhuket44.PQTC.02.03.26</v>
      </c>
      <c r="L45" s="6" t="str">
        <f t="shared" si="1"/>
        <v>44 NtrPhuket44.PQTC.02.03.26 Пхукет острова Пхи Пхи</v>
      </c>
    </row>
    <row r="46" spans="1:12">
      <c r="A46" s="5">
        <v>45</v>
      </c>
      <c r="C46" s="6" t="s">
        <v>10</v>
      </c>
      <c r="D46" s="16" t="s">
        <v>102</v>
      </c>
      <c r="E46" s="6" t="s">
        <v>118</v>
      </c>
      <c r="F46" s="8" t="s">
        <v>13</v>
      </c>
      <c r="G46" s="8" t="s">
        <v>104</v>
      </c>
      <c r="H46" s="6" t="s">
        <v>119</v>
      </c>
      <c r="J46" s="8" t="str">
        <f t="shared" si="0"/>
        <v>NtrPhuket45.PQTC.02.03.26</v>
      </c>
      <c r="L46" s="6" t="str">
        <f t="shared" si="1"/>
        <v>45 NtrPhuket45.PQTC.02.03.26 Пхукет пейзаж</v>
      </c>
    </row>
    <row r="47" spans="1:12">
      <c r="A47" s="5">
        <v>46</v>
      </c>
      <c r="C47" s="6" t="s">
        <v>10</v>
      </c>
      <c r="D47" s="16" t="s">
        <v>102</v>
      </c>
      <c r="E47" s="6" t="s">
        <v>120</v>
      </c>
      <c r="F47" s="8" t="s">
        <v>13</v>
      </c>
      <c r="G47" s="8" t="s">
        <v>104</v>
      </c>
      <c r="H47" s="6" t="s">
        <v>121</v>
      </c>
      <c r="J47" s="8" t="str">
        <f t="shared" si="0"/>
        <v>NtrPhuket46.PQTC.02.03.26</v>
      </c>
      <c r="L47" s="6" t="str">
        <f t="shared" si="1"/>
        <v>46 NtrPhuket46.PQTC.02.03.26 Пхукет архипелаг Пипи</v>
      </c>
    </row>
    <row r="48" spans="1:12">
      <c r="A48" s="5">
        <v>47</v>
      </c>
      <c r="C48" s="6" t="s">
        <v>10</v>
      </c>
      <c r="D48" s="16" t="s">
        <v>102</v>
      </c>
      <c r="E48" s="6" t="s">
        <v>122</v>
      </c>
      <c r="F48" s="8" t="s">
        <v>13</v>
      </c>
      <c r="G48" s="8" t="s">
        <v>104</v>
      </c>
      <c r="H48" s="6" t="s">
        <v>123</v>
      </c>
      <c r="J48" s="8" t="str">
        <f t="shared" si="0"/>
        <v>NtrPhuket47.PQTC.02.03.26</v>
      </c>
      <c r="L48" s="6" t="str">
        <f t="shared" si="1"/>
        <v>47 NtrPhuket47.PQTC.02.03.26 Пхукет храм Карона</v>
      </c>
    </row>
    <row r="49" spans="1:12">
      <c r="A49" s="5">
        <v>48</v>
      </c>
      <c r="C49" s="6" t="s">
        <v>10</v>
      </c>
      <c r="D49" s="16" t="s">
        <v>102</v>
      </c>
      <c r="E49" s="6" t="s">
        <v>124</v>
      </c>
      <c r="F49" s="8" t="s">
        <v>13</v>
      </c>
      <c r="G49" s="8" t="s">
        <v>104</v>
      </c>
      <c r="H49" s="6" t="s">
        <v>115</v>
      </c>
      <c r="J49" s="8" t="str">
        <f t="shared" si="0"/>
        <v>NtrPhuket48.PQTC.02.03.26</v>
      </c>
      <c r="L49" s="6" t="str">
        <f t="shared" si="1"/>
        <v>48 NtrPhuket48.PQTC.02.03.26 Пхукет остров Джеймса Бонда</v>
      </c>
    </row>
    <row r="50" spans="1:12">
      <c r="A50" s="5">
        <v>49</v>
      </c>
      <c r="C50" s="6" t="s">
        <v>10</v>
      </c>
      <c r="D50" s="16" t="s">
        <v>102</v>
      </c>
      <c r="E50" s="6" t="s">
        <v>125</v>
      </c>
      <c r="F50" s="8" t="s">
        <v>13</v>
      </c>
      <c r="G50" s="8" t="s">
        <v>104</v>
      </c>
      <c r="H50" s="6" t="s">
        <v>126</v>
      </c>
      <c r="J50" s="8" t="str">
        <f t="shared" si="0"/>
        <v>NtrPhuket49.PQTC.02.03.26</v>
      </c>
      <c r="L50" s="6" t="str">
        <f t="shared" si="1"/>
        <v>49 NtrPhuket49.PQTC.02.03.26 Пхукет Пхи Пхи</v>
      </c>
    </row>
    <row r="51" spans="1:12">
      <c r="A51" s="5">
        <v>50</v>
      </c>
      <c r="C51" s="6" t="s">
        <v>10</v>
      </c>
      <c r="D51" s="16" t="s">
        <v>102</v>
      </c>
      <c r="E51" s="6" t="s">
        <v>127</v>
      </c>
      <c r="F51" s="8" t="s">
        <v>13</v>
      </c>
      <c r="G51" s="8" t="s">
        <v>104</v>
      </c>
      <c r="H51" s="6" t="s">
        <v>126</v>
      </c>
      <c r="J51" s="8" t="str">
        <f t="shared" si="0"/>
        <v>NtrPhuket50.PQTC.02.03.26</v>
      </c>
      <c r="L51" s="6" t="str">
        <f t="shared" si="1"/>
        <v>50 NtrPhuket50.PQTC.02.03.26 Пхукет Пхи Пхи</v>
      </c>
    </row>
    <row r="52" spans="1:12">
      <c r="A52" s="5">
        <v>51</v>
      </c>
      <c r="C52" s="6" t="s">
        <v>10</v>
      </c>
      <c r="D52" s="16" t="s">
        <v>102</v>
      </c>
      <c r="E52" s="6" t="s">
        <v>128</v>
      </c>
      <c r="F52" s="8" t="s">
        <v>13</v>
      </c>
      <c r="G52" s="8" t="s">
        <v>129</v>
      </c>
      <c r="H52" s="6" t="s">
        <v>130</v>
      </c>
      <c r="J52" s="8" t="str">
        <f t="shared" si="0"/>
        <v>NtrPhuket51.PQTC.03.03.26</v>
      </c>
      <c r="L52" s="6" t="str">
        <f t="shared" si="1"/>
        <v>51 NtrPhuket51.PQTC.03.03.26 Пхукет Большой Будда</v>
      </c>
    </row>
    <row r="53" spans="1:12">
      <c r="A53" s="5">
        <v>52</v>
      </c>
      <c r="C53" s="6" t="s">
        <v>10</v>
      </c>
      <c r="D53" s="16" t="s">
        <v>102</v>
      </c>
      <c r="E53" s="6" t="s">
        <v>131</v>
      </c>
      <c r="F53" s="8" t="s">
        <v>13</v>
      </c>
      <c r="G53" s="8" t="s">
        <v>129</v>
      </c>
      <c r="H53" s="6" t="s">
        <v>130</v>
      </c>
      <c r="J53" s="8" t="str">
        <f t="shared" si="0"/>
        <v>NtrPhuket52.PQTC.03.03.26</v>
      </c>
      <c r="L53" s="6" t="str">
        <f t="shared" si="1"/>
        <v>52 NtrPhuket52.PQTC.03.03.26 Пхукет Большой Будда</v>
      </c>
    </row>
    <row r="54" spans="1:12">
      <c r="A54" s="5">
        <v>53</v>
      </c>
      <c r="C54" s="6" t="s">
        <v>10</v>
      </c>
      <c r="D54" s="16" t="s">
        <v>102</v>
      </c>
      <c r="E54" s="6" t="s">
        <v>132</v>
      </c>
      <c r="F54" s="8" t="s">
        <v>13</v>
      </c>
      <c r="G54" s="8" t="s">
        <v>129</v>
      </c>
      <c r="H54" s="6" t="s">
        <v>133</v>
      </c>
      <c r="J54" s="8" t="str">
        <f t="shared" si="0"/>
        <v>NtrPhuket53.PQTC.03.03.26</v>
      </c>
      <c r="L54" s="6" t="str">
        <f t="shared" si="1"/>
        <v>53 NtrPhuket53.PQTC.03.03.26 Пхукет Будда Шакьямуни</v>
      </c>
    </row>
    <row r="55" spans="1:12">
      <c r="A55" s="5">
        <v>54</v>
      </c>
      <c r="C55" s="6" t="s">
        <v>10</v>
      </c>
      <c r="D55" s="16" t="s">
        <v>102</v>
      </c>
      <c r="E55" s="6" t="s">
        <v>134</v>
      </c>
      <c r="F55" s="8" t="s">
        <v>13</v>
      </c>
      <c r="G55" s="8" t="s">
        <v>129</v>
      </c>
      <c r="H55" s="6" t="s">
        <v>135</v>
      </c>
      <c r="J55" s="8" t="str">
        <f t="shared" si="0"/>
        <v>NtrPhuket54.PQTC.03.03.26</v>
      </c>
      <c r="L55" s="6" t="str">
        <f t="shared" si="1"/>
        <v>54 NtrPhuket54.PQTC.03.03.26 Пхукет Гуань Инь</v>
      </c>
    </row>
    <row r="56" spans="1:12">
      <c r="A56" s="5">
        <v>55</v>
      </c>
      <c r="C56" s="6" t="s">
        <v>10</v>
      </c>
      <c r="D56" s="16" t="s">
        <v>102</v>
      </c>
      <c r="E56" s="6" t="s">
        <v>136</v>
      </c>
      <c r="F56" s="8" t="s">
        <v>13</v>
      </c>
      <c r="G56" s="8" t="s">
        <v>129</v>
      </c>
      <c r="H56" s="6" t="s">
        <v>137</v>
      </c>
      <c r="J56" s="8" t="str">
        <f t="shared" si="0"/>
        <v>NtrPhuket55.PQTC.03.03.26</v>
      </c>
      <c r="L56" s="6" t="str">
        <f t="shared" si="1"/>
        <v>55 NtrPhuket55.PQTC.03.03.26 Пхукет храм Ват Чалонг</v>
      </c>
    </row>
    <row r="57" spans="1:12">
      <c r="A57" s="5">
        <v>56</v>
      </c>
      <c r="C57" s="6" t="s">
        <v>10</v>
      </c>
      <c r="D57" s="16" t="s">
        <v>102</v>
      </c>
      <c r="E57" s="6" t="s">
        <v>138</v>
      </c>
      <c r="F57" s="8" t="s">
        <v>13</v>
      </c>
      <c r="G57" s="8" t="s">
        <v>129</v>
      </c>
      <c r="H57" s="6" t="s">
        <v>137</v>
      </c>
      <c r="J57" s="8" t="str">
        <f t="shared" si="0"/>
        <v>NtrPhuket56.PQTC.03.03.26</v>
      </c>
      <c r="L57" s="6" t="str">
        <f t="shared" si="1"/>
        <v>56 NtrPhuket56.PQTC.03.03.26 Пхукет храм Ват Чалонг</v>
      </c>
    </row>
    <row r="58" spans="1:12">
      <c r="A58" s="5">
        <v>57</v>
      </c>
      <c r="C58" s="6" t="s">
        <v>10</v>
      </c>
      <c r="D58" s="16" t="s">
        <v>102</v>
      </c>
      <c r="E58" s="6" t="s">
        <v>139</v>
      </c>
      <c r="F58" s="8" t="s">
        <v>13</v>
      </c>
      <c r="G58" s="8" t="s">
        <v>129</v>
      </c>
      <c r="H58" s="6" t="s">
        <v>140</v>
      </c>
      <c r="J58" s="8" t="str">
        <f t="shared" si="0"/>
        <v>NtrPhuket57.PQTC.03.03.26</v>
      </c>
      <c r="L58" s="6" t="str">
        <f t="shared" si="1"/>
        <v>57 NtrPhuket57.PQTC.03.03.26 Пхукет парк FantaSea</v>
      </c>
    </row>
    <row r="59" spans="1:12">
      <c r="A59" s="5">
        <v>58</v>
      </c>
      <c r="C59" s="6" t="s">
        <v>10</v>
      </c>
      <c r="D59" s="16" t="s">
        <v>102</v>
      </c>
      <c r="E59" s="6" t="s">
        <v>141</v>
      </c>
      <c r="F59" s="8" t="s">
        <v>13</v>
      </c>
      <c r="G59" s="8" t="s">
        <v>129</v>
      </c>
      <c r="H59" s="6" t="s">
        <v>140</v>
      </c>
      <c r="J59" s="8" t="str">
        <f t="shared" si="0"/>
        <v>NtrPhuket58.PQTC.03.03.26</v>
      </c>
      <c r="L59" s="6" t="str">
        <f t="shared" si="1"/>
        <v>58 NtrPhuket58.PQTC.03.03.26 Пхукет парк FantaSea</v>
      </c>
    </row>
    <row r="60" spans="1:12">
      <c r="A60" s="5">
        <v>59</v>
      </c>
      <c r="C60" s="6" t="s">
        <v>10</v>
      </c>
      <c r="D60" s="16" t="s">
        <v>102</v>
      </c>
      <c r="E60" s="6" t="s">
        <v>142</v>
      </c>
      <c r="F60" s="8" t="s">
        <v>13</v>
      </c>
      <c r="G60" s="8" t="s">
        <v>129</v>
      </c>
      <c r="H60" s="6" t="s">
        <v>143</v>
      </c>
      <c r="J60" s="8" t="str">
        <f t="shared" si="0"/>
        <v>NtrPhuket59.PQTC.03.03.26</v>
      </c>
      <c r="L60" s="6" t="str">
        <f t="shared" si="1"/>
        <v>59 NtrPhuket59.PQTC.03.03.26 Пхукет закат</v>
      </c>
    </row>
    <row r="61" spans="1:12">
      <c r="A61" s="5">
        <v>60</v>
      </c>
      <c r="C61" s="6" t="s">
        <v>10</v>
      </c>
      <c r="D61" s="16" t="s">
        <v>102</v>
      </c>
      <c r="E61" s="6" t="s">
        <v>144</v>
      </c>
      <c r="F61" s="8" t="s">
        <v>13</v>
      </c>
      <c r="G61" s="8" t="s">
        <v>129</v>
      </c>
      <c r="H61" s="6" t="s">
        <v>143</v>
      </c>
      <c r="J61" s="8" t="str">
        <f t="shared" si="0"/>
        <v>NtrPhuket60.PQTC.03.03.26</v>
      </c>
      <c r="L61" s="6" t="str">
        <f t="shared" si="1"/>
        <v>60 NtrPhuket60.PQTC.03.03.26 Пхукет закат</v>
      </c>
    </row>
    <row r="62" spans="1:12">
      <c r="A62" s="5">
        <v>61</v>
      </c>
      <c r="C62" s="6" t="s">
        <v>10</v>
      </c>
      <c r="D62" s="16" t="s">
        <v>102</v>
      </c>
      <c r="E62" s="6" t="s">
        <v>145</v>
      </c>
      <c r="F62" s="8" t="s">
        <v>13</v>
      </c>
      <c r="G62" s="8" t="s">
        <v>129</v>
      </c>
      <c r="H62" s="6" t="s">
        <v>146</v>
      </c>
      <c r="J62" s="8" t="str">
        <f t="shared" si="0"/>
        <v>NtrPhuket61.PQTC.03.03.26</v>
      </c>
      <c r="L62" s="6" t="str">
        <f t="shared" si="1"/>
        <v>61 NtrPhuket61.PQTC.03.03.26 Пхуке  ночной пляж</v>
      </c>
    </row>
    <row r="63" spans="1:12">
      <c r="A63" s="5">
        <v>62</v>
      </c>
      <c r="C63" s="6" t="s">
        <v>10</v>
      </c>
      <c r="D63" s="16" t="s">
        <v>102</v>
      </c>
      <c r="E63" s="6" t="s">
        <v>147</v>
      </c>
      <c r="F63" s="8" t="s">
        <v>13</v>
      </c>
      <c r="G63" s="8" t="s">
        <v>129</v>
      </c>
      <c r="H63" s="6" t="s">
        <v>126</v>
      </c>
      <c r="J63" s="8" t="str">
        <f t="shared" si="0"/>
        <v>NtrPhuket62.PQTC.03.03.26</v>
      </c>
      <c r="L63" s="6" t="str">
        <f t="shared" si="1"/>
        <v>62 NtrPhuket62.PQTC.03.03.26 Пхукет Пхи Пхи</v>
      </c>
    </row>
    <row r="64" spans="1:12">
      <c r="A64" s="5">
        <v>63</v>
      </c>
      <c r="C64" s="6" t="s">
        <v>10</v>
      </c>
      <c r="D64" s="16" t="s">
        <v>102</v>
      </c>
      <c r="E64" s="6" t="s">
        <v>148</v>
      </c>
      <c r="F64" s="8" t="s">
        <v>13</v>
      </c>
      <c r="G64" s="8" t="s">
        <v>129</v>
      </c>
      <c r="H64" s="6" t="s">
        <v>149</v>
      </c>
      <c r="J64" s="8" t="str">
        <f t="shared" si="0"/>
        <v>NtrPhuket63.PQTC.03.03.26</v>
      </c>
      <c r="L64" s="6" t="str">
        <f t="shared" si="1"/>
        <v>63 NtrPhuket63.PQTC.03.03.26 Пхукет остров Рача-Яй</v>
      </c>
    </row>
    <row r="65" spans="1:12">
      <c r="A65" s="5">
        <v>64</v>
      </c>
      <c r="C65" s="6" t="s">
        <v>10</v>
      </c>
      <c r="D65" s="16" t="s">
        <v>102</v>
      </c>
      <c r="E65" s="6" t="s">
        <v>150</v>
      </c>
      <c r="F65" s="8" t="s">
        <v>13</v>
      </c>
      <c r="G65" s="8" t="s">
        <v>129</v>
      </c>
      <c r="H65" s="6" t="s">
        <v>119</v>
      </c>
      <c r="J65" s="8" t="str">
        <f t="shared" si="0"/>
        <v>NtrPhuket64.PQTC.03.03.26</v>
      </c>
      <c r="L65" s="6" t="str">
        <f t="shared" si="1"/>
        <v>64 NtrPhuket64.PQTC.03.03.26 Пхукет пейзаж</v>
      </c>
    </row>
    <row r="66" spans="1:12">
      <c r="A66" s="5">
        <v>65</v>
      </c>
      <c r="C66" s="6" t="s">
        <v>10</v>
      </c>
      <c r="D66" s="16" t="s">
        <v>102</v>
      </c>
      <c r="E66" s="6" t="s">
        <v>151</v>
      </c>
      <c r="F66" s="8" t="s">
        <v>13</v>
      </c>
      <c r="G66" s="8" t="s">
        <v>129</v>
      </c>
      <c r="H66" s="6" t="s">
        <v>119</v>
      </c>
      <c r="J66" s="8" t="str">
        <f t="shared" ref="J66:J129" si="2">C66&amp;D66&amp;E66&amp;F66&amp;G66</f>
        <v>NtrPhuket65.PQTC.03.03.26</v>
      </c>
      <c r="L66" s="6" t="str">
        <f t="shared" ref="L66:L129" si="3">A66&amp;" "&amp;C66&amp;D66&amp;E66&amp;F66&amp;G66&amp;" "&amp;H66</f>
        <v>65 NtrPhuket65.PQTC.03.03.26 Пхукет пейзаж</v>
      </c>
    </row>
    <row r="67" spans="1:12">
      <c r="A67" s="5">
        <v>66</v>
      </c>
      <c r="C67" s="6" t="s">
        <v>10</v>
      </c>
      <c r="D67" s="7" t="s">
        <v>152</v>
      </c>
      <c r="E67" s="6" t="s">
        <v>153</v>
      </c>
      <c r="F67" s="8" t="s">
        <v>13</v>
      </c>
      <c r="G67" s="8" t="s">
        <v>154</v>
      </c>
      <c r="H67" s="6" t="s">
        <v>155</v>
      </c>
      <c r="J67" s="8" t="str">
        <f t="shared" si="2"/>
        <v>NtrRiodeJ66.PQTC.04.03.26</v>
      </c>
      <c r="L67" s="6" t="str">
        <f t="shared" si="3"/>
        <v>66 NtrRiodeJ66.PQTC.04.03.26 Рио-де-Жанейро Пан-ди-Асукар</v>
      </c>
    </row>
    <row r="68" spans="1:12">
      <c r="A68" s="5">
        <v>67</v>
      </c>
      <c r="C68" s="6" t="s">
        <v>10</v>
      </c>
      <c r="D68" s="7" t="s">
        <v>152</v>
      </c>
      <c r="E68" s="6" t="s">
        <v>156</v>
      </c>
      <c r="F68" s="8" t="s">
        <v>13</v>
      </c>
      <c r="G68" s="8" t="s">
        <v>154</v>
      </c>
      <c r="H68" s="6" t="s">
        <v>157</v>
      </c>
      <c r="J68" s="8" t="str">
        <f t="shared" si="2"/>
        <v>NtrRiodeJ67.PQTC.04.03.26</v>
      </c>
      <c r="L68" s="6" t="str">
        <f t="shared" si="3"/>
        <v>67 NtrRiodeJ67.PQTC.04.03.26 Рио-де-Жанейро статуя Христа Искупителя</v>
      </c>
    </row>
    <row r="69" spans="1:12">
      <c r="A69" s="5">
        <v>68</v>
      </c>
      <c r="C69" s="6" t="s">
        <v>10</v>
      </c>
      <c r="D69" s="7" t="s">
        <v>152</v>
      </c>
      <c r="E69" s="6" t="s">
        <v>158</v>
      </c>
      <c r="F69" s="8" t="s">
        <v>13</v>
      </c>
      <c r="G69" s="8" t="s">
        <v>154</v>
      </c>
      <c r="H69" s="6" t="s">
        <v>157</v>
      </c>
      <c r="J69" s="8" t="str">
        <f t="shared" si="2"/>
        <v>NtrRiodeJ68.PQTC.04.03.26</v>
      </c>
      <c r="L69" s="6" t="str">
        <f t="shared" si="3"/>
        <v>68 NtrRiodeJ68.PQTC.04.03.26 Рио-де-Жанейро статуя Христа Искупителя</v>
      </c>
    </row>
    <row r="70" spans="1:12">
      <c r="A70" s="5">
        <v>69</v>
      </c>
      <c r="C70" s="6" t="s">
        <v>10</v>
      </c>
      <c r="D70" s="7" t="s">
        <v>152</v>
      </c>
      <c r="E70" s="6" t="s">
        <v>159</v>
      </c>
      <c r="F70" s="8" t="s">
        <v>13</v>
      </c>
      <c r="G70" s="8" t="s">
        <v>154</v>
      </c>
      <c r="H70" s="6" t="s">
        <v>157</v>
      </c>
      <c r="J70" s="8" t="str">
        <f t="shared" si="2"/>
        <v>NtrRiodeJ69.PQTC.04.03.26</v>
      </c>
      <c r="L70" s="6" t="str">
        <f t="shared" si="3"/>
        <v>69 NtrRiodeJ69.PQTC.04.03.26 Рио-де-Жанейро статуя Христа Искупителя</v>
      </c>
    </row>
    <row r="71" spans="1:12">
      <c r="A71" s="5">
        <v>70</v>
      </c>
      <c r="C71" s="6" t="s">
        <v>10</v>
      </c>
      <c r="D71" s="7" t="s">
        <v>152</v>
      </c>
      <c r="E71" s="6" t="s">
        <v>160</v>
      </c>
      <c r="F71" s="8" t="s">
        <v>13</v>
      </c>
      <c r="G71" s="8" t="s">
        <v>154</v>
      </c>
      <c r="H71" s="6" t="s">
        <v>161</v>
      </c>
      <c r="J71" s="8" t="str">
        <f t="shared" si="2"/>
        <v>NtrRiodeJ70.PQTC.04.03.26</v>
      </c>
      <c r="L71" s="6" t="str">
        <f t="shared" si="3"/>
        <v>70 NtrRiodeJ70.PQTC.04.03.26 Рио-де-Жанейро закат статуя Христа Искупителя</v>
      </c>
    </row>
    <row r="72" spans="1:12">
      <c r="A72" s="5">
        <v>71</v>
      </c>
      <c r="C72" s="6" t="s">
        <v>10</v>
      </c>
      <c r="D72" s="7" t="s">
        <v>152</v>
      </c>
      <c r="E72" s="6" t="s">
        <v>162</v>
      </c>
      <c r="F72" s="8" t="s">
        <v>13</v>
      </c>
      <c r="G72" s="8" t="s">
        <v>154</v>
      </c>
      <c r="H72" s="6" t="s">
        <v>163</v>
      </c>
      <c r="J72" s="8" t="str">
        <f t="shared" si="2"/>
        <v>NtrRiodeJ71.PQTC.04.03.26</v>
      </c>
      <c r="L72" s="6" t="str">
        <f t="shared" si="3"/>
        <v>71 NtrRiodeJ71.PQTC.04.03.26 Рио-де-Жанейро</v>
      </c>
    </row>
    <row r="73" spans="1:12">
      <c r="A73" s="5">
        <v>72</v>
      </c>
      <c r="C73" s="6" t="s">
        <v>10</v>
      </c>
      <c r="D73" s="7" t="s">
        <v>152</v>
      </c>
      <c r="E73" s="6" t="s">
        <v>164</v>
      </c>
      <c r="F73" s="8" t="s">
        <v>13</v>
      </c>
      <c r="G73" s="8" t="s">
        <v>154</v>
      </c>
      <c r="H73" s="6" t="s">
        <v>163</v>
      </c>
      <c r="J73" s="8" t="str">
        <f t="shared" si="2"/>
        <v>NtrRiodeJ72.PQTC.04.03.26</v>
      </c>
      <c r="L73" s="6" t="str">
        <f t="shared" si="3"/>
        <v>72 NtrRiodeJ72.PQTC.04.03.26 Рио-де-Жанейро</v>
      </c>
    </row>
    <row r="74" spans="1:12">
      <c r="A74" s="5">
        <v>73</v>
      </c>
      <c r="C74" s="6" t="s">
        <v>10</v>
      </c>
      <c r="D74" s="7" t="s">
        <v>152</v>
      </c>
      <c r="E74" s="6" t="s">
        <v>165</v>
      </c>
      <c r="F74" s="8" t="s">
        <v>13</v>
      </c>
      <c r="G74" s="8" t="s">
        <v>154</v>
      </c>
      <c r="H74" s="6" t="s">
        <v>166</v>
      </c>
      <c r="J74" s="8" t="str">
        <f t="shared" si="2"/>
        <v>NtrRiodeJ73.PQTC.04.03.26</v>
      </c>
      <c r="L74" s="6" t="str">
        <f t="shared" si="3"/>
        <v>73 NtrRiodeJ73.PQTC.04.03.26 Рио-де-Жанейро пляж Копакабана</v>
      </c>
    </row>
    <row r="75" spans="1:12">
      <c r="A75" s="5">
        <v>74</v>
      </c>
      <c r="C75" s="6" t="s">
        <v>10</v>
      </c>
      <c r="D75" s="7" t="s">
        <v>152</v>
      </c>
      <c r="E75" s="6" t="s">
        <v>167</v>
      </c>
      <c r="F75" s="8" t="s">
        <v>13</v>
      </c>
      <c r="G75" s="8" t="s">
        <v>154</v>
      </c>
      <c r="H75" s="6" t="s">
        <v>168</v>
      </c>
      <c r="J75" s="8" t="str">
        <f t="shared" si="2"/>
        <v>NtrRiodeJ74.PQTC.04.03.26</v>
      </c>
      <c r="L75" s="6" t="str">
        <f t="shared" si="3"/>
        <v>74 NtrRiodeJ74.PQTC.04.03.26 Вечерний Рио-де-Жанейро </v>
      </c>
    </row>
    <row r="76" spans="1:12">
      <c r="A76" s="5">
        <v>75</v>
      </c>
      <c r="C76" s="6" t="s">
        <v>10</v>
      </c>
      <c r="D76" s="7" t="s">
        <v>152</v>
      </c>
      <c r="E76" s="6" t="s">
        <v>169</v>
      </c>
      <c r="F76" s="8" t="s">
        <v>13</v>
      </c>
      <c r="G76" s="8" t="s">
        <v>154</v>
      </c>
      <c r="H76" s="6" t="s">
        <v>163</v>
      </c>
      <c r="J76" s="8" t="str">
        <f t="shared" si="2"/>
        <v>NtrRiodeJ75.PQTC.04.03.26</v>
      </c>
      <c r="L76" s="6" t="str">
        <f t="shared" si="3"/>
        <v>75 NtrRiodeJ75.PQTC.04.03.26 Рио-де-Жанейро</v>
      </c>
    </row>
    <row r="77" spans="1:12">
      <c r="A77" s="5">
        <v>76</v>
      </c>
      <c r="C77" s="6" t="s">
        <v>10</v>
      </c>
      <c r="D77" s="7" t="s">
        <v>152</v>
      </c>
      <c r="E77" s="6" t="s">
        <v>170</v>
      </c>
      <c r="F77" s="8" t="s">
        <v>13</v>
      </c>
      <c r="G77" s="8" t="s">
        <v>154</v>
      </c>
      <c r="H77" s="6" t="s">
        <v>163</v>
      </c>
      <c r="J77" s="8" t="str">
        <f t="shared" si="2"/>
        <v>NtrRiodeJ76.PQTC.04.03.26</v>
      </c>
      <c r="L77" s="6" t="str">
        <f t="shared" si="3"/>
        <v>76 NtrRiodeJ76.PQTC.04.03.26 Рио-де-Жанейро</v>
      </c>
    </row>
    <row r="78" spans="1:12">
      <c r="A78" s="5">
        <v>77</v>
      </c>
      <c r="C78" s="6" t="s">
        <v>10</v>
      </c>
      <c r="D78" s="7" t="s">
        <v>152</v>
      </c>
      <c r="E78" s="6" t="s">
        <v>171</v>
      </c>
      <c r="F78" s="8" t="s">
        <v>13</v>
      </c>
      <c r="G78" s="8" t="s">
        <v>154</v>
      </c>
      <c r="H78" s="6" t="s">
        <v>172</v>
      </c>
      <c r="J78" s="8" t="str">
        <f t="shared" si="2"/>
        <v>NtrRiodeJ77.PQTC.04.03.26</v>
      </c>
      <c r="L78" s="6" t="str">
        <f t="shared" si="3"/>
        <v>77 NtrRiodeJ77.PQTC.04.03.26 Ночной Рио-де-Жанейро</v>
      </c>
    </row>
    <row r="79" spans="1:12">
      <c r="A79" s="5">
        <v>78</v>
      </c>
      <c r="C79" s="6" t="s">
        <v>10</v>
      </c>
      <c r="D79" s="7" t="s">
        <v>152</v>
      </c>
      <c r="E79" s="6" t="s">
        <v>173</v>
      </c>
      <c r="F79" s="8" t="s">
        <v>13</v>
      </c>
      <c r="G79" s="8" t="s">
        <v>154</v>
      </c>
      <c r="H79" s="6" t="s">
        <v>172</v>
      </c>
      <c r="J79" s="8" t="str">
        <f t="shared" si="2"/>
        <v>NtrRiodeJ78.PQTC.04.03.26</v>
      </c>
      <c r="L79" s="6" t="str">
        <f t="shared" si="3"/>
        <v>78 NtrRiodeJ78.PQTC.04.03.26 Ночной Рио-де-Жанейро</v>
      </c>
    </row>
    <row r="80" spans="1:12">
      <c r="A80" s="5">
        <v>79</v>
      </c>
      <c r="C80" s="6" t="s">
        <v>10</v>
      </c>
      <c r="D80" s="7" t="s">
        <v>152</v>
      </c>
      <c r="E80" s="6" t="s">
        <v>174</v>
      </c>
      <c r="F80" s="8" t="s">
        <v>13</v>
      </c>
      <c r="G80" s="8" t="s">
        <v>154</v>
      </c>
      <c r="H80" s="6" t="s">
        <v>175</v>
      </c>
      <c r="J80" s="8" t="str">
        <f t="shared" si="2"/>
        <v>NtrRiodeJ79.PQTC.04.03.26</v>
      </c>
      <c r="L80" s="6" t="str">
        <f t="shared" si="3"/>
        <v>79 NtrRiodeJ79.PQTC.04.03.26 Рассвет Рио-де-Жанейро</v>
      </c>
    </row>
    <row r="81" spans="1:12">
      <c r="A81" s="5">
        <v>80</v>
      </c>
      <c r="C81" s="6" t="s">
        <v>10</v>
      </c>
      <c r="D81" s="7" t="s">
        <v>152</v>
      </c>
      <c r="E81" s="6" t="s">
        <v>176</v>
      </c>
      <c r="F81" s="8" t="s">
        <v>13</v>
      </c>
      <c r="G81" s="8" t="s">
        <v>154</v>
      </c>
      <c r="H81" s="6" t="s">
        <v>175</v>
      </c>
      <c r="J81" s="8" t="str">
        <f t="shared" si="2"/>
        <v>NtrRiodeJ80.PQTC.04.03.26</v>
      </c>
      <c r="L81" s="6" t="str">
        <f t="shared" si="3"/>
        <v>80 NtrRiodeJ80.PQTC.04.03.26 Рассвет Рио-де-Жанейро</v>
      </c>
    </row>
    <row r="82" spans="1:12">
      <c r="A82" s="5">
        <v>81</v>
      </c>
      <c r="C82" s="6" t="s">
        <v>10</v>
      </c>
      <c r="D82" s="7" t="s">
        <v>152</v>
      </c>
      <c r="E82" s="6" t="s">
        <v>177</v>
      </c>
      <c r="F82" s="8" t="s">
        <v>13</v>
      </c>
      <c r="G82" s="8" t="s">
        <v>154</v>
      </c>
      <c r="H82" s="6" t="s">
        <v>168</v>
      </c>
      <c r="J82" s="8" t="str">
        <f t="shared" si="2"/>
        <v>NtrRiodeJ81.PQTC.04.03.26</v>
      </c>
      <c r="L82" s="6" t="str">
        <f t="shared" si="3"/>
        <v>81 NtrRiodeJ81.PQTC.04.03.26 Вечерний Рио-де-Жанейро </v>
      </c>
    </row>
    <row r="83" spans="1:12">
      <c r="A83" s="5">
        <v>82</v>
      </c>
      <c r="C83" s="6" t="s">
        <v>10</v>
      </c>
      <c r="D83" s="7" t="s">
        <v>152</v>
      </c>
      <c r="E83" s="6" t="s">
        <v>178</v>
      </c>
      <c r="F83" s="8" t="s">
        <v>13</v>
      </c>
      <c r="G83" s="8" t="s">
        <v>179</v>
      </c>
      <c r="H83" s="16" t="s">
        <v>180</v>
      </c>
      <c r="J83" s="8" t="str">
        <f t="shared" si="2"/>
        <v>NtrRiodeJ82.PQTC.05.03.26</v>
      </c>
      <c r="L83" s="6" t="str">
        <f t="shared" si="3"/>
        <v>82 NtrRiodeJ82.PQTC.05.03.26 Рио-де-Жанейро собор Святого Себастьяна</v>
      </c>
    </row>
    <row r="84" spans="1:12">
      <c r="A84" s="5">
        <v>83</v>
      </c>
      <c r="C84" s="6" t="s">
        <v>10</v>
      </c>
      <c r="D84" s="7" t="s">
        <v>152</v>
      </c>
      <c r="E84" s="6" t="s">
        <v>181</v>
      </c>
      <c r="F84" s="8" t="s">
        <v>13</v>
      </c>
      <c r="G84" s="8" t="s">
        <v>179</v>
      </c>
      <c r="H84" s="16" t="s">
        <v>182</v>
      </c>
      <c r="J84" s="8" t="str">
        <f t="shared" si="2"/>
        <v>NtrRiodeJ83.PQTC.05.03.26</v>
      </c>
      <c r="L84" s="6" t="str">
        <f t="shared" si="3"/>
        <v>83 NtrRiodeJ83.PQTC.05.03.26 Рио-де-Жанейро Церковь Канделария</v>
      </c>
    </row>
    <row r="85" spans="1:12">
      <c r="A85" s="5">
        <v>84</v>
      </c>
      <c r="C85" s="6" t="s">
        <v>10</v>
      </c>
      <c r="D85" s="7" t="s">
        <v>152</v>
      </c>
      <c r="E85" s="6" t="s">
        <v>183</v>
      </c>
      <c r="F85" s="8" t="s">
        <v>13</v>
      </c>
      <c r="G85" s="8" t="s">
        <v>179</v>
      </c>
      <c r="H85" s="16" t="s">
        <v>182</v>
      </c>
      <c r="J85" s="8" t="str">
        <f t="shared" si="2"/>
        <v>NtrRiodeJ84.PQTC.05.03.26</v>
      </c>
      <c r="L85" s="6" t="str">
        <f t="shared" si="3"/>
        <v>84 NtrRiodeJ84.PQTC.05.03.26 Рио-де-Жанейро Церковь Канделария</v>
      </c>
    </row>
    <row r="86" spans="1:12">
      <c r="A86" s="5">
        <v>85</v>
      </c>
      <c r="C86" s="6" t="s">
        <v>10</v>
      </c>
      <c r="D86" s="7" t="s">
        <v>152</v>
      </c>
      <c r="E86" s="6" t="s">
        <v>184</v>
      </c>
      <c r="F86" s="8" t="s">
        <v>13</v>
      </c>
      <c r="G86" s="8" t="s">
        <v>179</v>
      </c>
      <c r="H86" s="16" t="s">
        <v>185</v>
      </c>
      <c r="J86" s="8" t="str">
        <f t="shared" si="2"/>
        <v>NtrRiodeJ85.PQTC.05.03.26</v>
      </c>
      <c r="L86" s="6" t="str">
        <f t="shared" si="3"/>
        <v>85 NtrRiodeJ85.PQTC.05.03.26 Рио-де-Жанейро Муниципальный театр</v>
      </c>
    </row>
    <row r="87" spans="1:12">
      <c r="A87" s="5">
        <v>86</v>
      </c>
      <c r="C87" s="6" t="s">
        <v>10</v>
      </c>
      <c r="D87" s="7" t="s">
        <v>152</v>
      </c>
      <c r="E87" s="6" t="s">
        <v>186</v>
      </c>
      <c r="F87" s="8" t="s">
        <v>13</v>
      </c>
      <c r="G87" s="8" t="s">
        <v>179</v>
      </c>
      <c r="H87" s="16" t="s">
        <v>187</v>
      </c>
      <c r="J87" s="8" t="str">
        <f t="shared" si="2"/>
        <v>NtrRiodeJ86.PQTC.05.03.26</v>
      </c>
      <c r="L87" s="6" t="str">
        <f t="shared" si="3"/>
        <v>86 NtrRiodeJ86.PQTC.05.03.26 Рио-де-Жанейро Музей современного искусства</v>
      </c>
    </row>
    <row r="88" spans="1:12">
      <c r="A88" s="5">
        <v>87</v>
      </c>
      <c r="C88" s="6" t="s">
        <v>10</v>
      </c>
      <c r="D88" s="7" t="s">
        <v>152</v>
      </c>
      <c r="E88" s="6" t="s">
        <v>188</v>
      </c>
      <c r="F88" s="8" t="s">
        <v>13</v>
      </c>
      <c r="G88" s="8" t="s">
        <v>179</v>
      </c>
      <c r="H88" s="6" t="s">
        <v>189</v>
      </c>
      <c r="J88" s="8" t="str">
        <f t="shared" si="2"/>
        <v>NtrRiodeJ87.PQTC.05.03.26</v>
      </c>
      <c r="L88" s="6" t="str">
        <f t="shared" si="3"/>
        <v>87 NtrRiodeJ87.PQTC.05.03.26 Рио-де-Жанейро монумент</v>
      </c>
    </row>
    <row r="89" spans="1:12">
      <c r="A89" s="5">
        <v>88</v>
      </c>
      <c r="C89" s="6" t="s">
        <v>10</v>
      </c>
      <c r="D89" s="7" t="s">
        <v>152</v>
      </c>
      <c r="E89" s="6" t="s">
        <v>190</v>
      </c>
      <c r="F89" s="8" t="s">
        <v>13</v>
      </c>
      <c r="G89" s="8" t="s">
        <v>179</v>
      </c>
      <c r="H89" s="6" t="s">
        <v>191</v>
      </c>
      <c r="J89" s="8" t="str">
        <f t="shared" si="2"/>
        <v>NtrRiodeJ88.PQTC.05.03.26</v>
      </c>
      <c r="L89" s="6" t="str">
        <f t="shared" si="3"/>
        <v>88 NtrRiodeJ88.PQTC.05.03.26 Рио-де-Жанейро Парк Лаге</v>
      </c>
    </row>
    <row r="90" spans="1:12">
      <c r="A90" s="5">
        <v>89</v>
      </c>
      <c r="C90" s="6" t="s">
        <v>10</v>
      </c>
      <c r="D90" s="7" t="s">
        <v>152</v>
      </c>
      <c r="E90" s="6" t="s">
        <v>192</v>
      </c>
      <c r="F90" s="8" t="s">
        <v>13</v>
      </c>
      <c r="G90" s="8" t="s">
        <v>179</v>
      </c>
      <c r="H90" s="6" t="s">
        <v>191</v>
      </c>
      <c r="J90" s="8" t="str">
        <f t="shared" si="2"/>
        <v>NtrRiodeJ89.PQTC.05.03.26</v>
      </c>
      <c r="L90" s="6" t="str">
        <f t="shared" si="3"/>
        <v>89 NtrRiodeJ89.PQTC.05.03.26 Рио-де-Жанейро Парк Лаге</v>
      </c>
    </row>
    <row r="91" spans="1:12">
      <c r="A91" s="5">
        <v>90</v>
      </c>
      <c r="C91" s="6" t="s">
        <v>10</v>
      </c>
      <c r="D91" s="7" t="s">
        <v>193</v>
      </c>
      <c r="E91" s="6" t="s">
        <v>194</v>
      </c>
      <c r="F91" s="8" t="s">
        <v>13</v>
      </c>
      <c r="G91" s="8" t="s">
        <v>179</v>
      </c>
      <c r="H91" s="6" t="s">
        <v>195</v>
      </c>
      <c r="J91" s="8" t="str">
        <f t="shared" si="2"/>
        <v>NtrAlmaty90.PQTC.05.03.26</v>
      </c>
      <c r="L91" s="6" t="str">
        <f t="shared" si="3"/>
        <v>90 NtrAlmaty90.PQTC.05.03.26 Алматы</v>
      </c>
    </row>
    <row r="92" spans="1:12">
      <c r="A92" s="5">
        <v>91</v>
      </c>
      <c r="C92" s="6" t="s">
        <v>10</v>
      </c>
      <c r="D92" s="7" t="s">
        <v>193</v>
      </c>
      <c r="E92" s="6" t="s">
        <v>196</v>
      </c>
      <c r="F92" s="8" t="s">
        <v>13</v>
      </c>
      <c r="G92" s="8" t="s">
        <v>179</v>
      </c>
      <c r="H92" s="6" t="s">
        <v>197</v>
      </c>
      <c r="J92" s="8" t="str">
        <f t="shared" si="2"/>
        <v>NtrAlmaty91.PQTC.05.03.26</v>
      </c>
      <c r="L92" s="6" t="str">
        <f t="shared" si="3"/>
        <v>91 NtrAlmaty91.PQTC.05.03.26 Ночные Алматы</v>
      </c>
    </row>
    <row r="93" spans="1:12">
      <c r="A93" s="5">
        <v>92</v>
      </c>
      <c r="C93" s="6" t="s">
        <v>10</v>
      </c>
      <c r="D93" s="7" t="s">
        <v>193</v>
      </c>
      <c r="E93" s="6" t="s">
        <v>198</v>
      </c>
      <c r="F93" s="8" t="s">
        <v>13</v>
      </c>
      <c r="G93" s="8" t="s">
        <v>179</v>
      </c>
      <c r="H93" s="6" t="s">
        <v>197</v>
      </c>
      <c r="J93" s="8" t="str">
        <f t="shared" si="2"/>
        <v>NtrAlmaty92.PQTC.05.03.26</v>
      </c>
      <c r="L93" s="6" t="str">
        <f t="shared" si="3"/>
        <v>92 NtrAlmaty92.PQTC.05.03.26 Ночные Алматы</v>
      </c>
    </row>
    <row r="94" spans="1:12">
      <c r="A94" s="5">
        <v>93</v>
      </c>
      <c r="C94" s="6" t="s">
        <v>10</v>
      </c>
      <c r="D94" s="7" t="s">
        <v>193</v>
      </c>
      <c r="E94" s="6" t="s">
        <v>199</v>
      </c>
      <c r="F94" s="8" t="s">
        <v>13</v>
      </c>
      <c r="G94" s="8" t="s">
        <v>200</v>
      </c>
      <c r="H94" s="6" t="s">
        <v>197</v>
      </c>
      <c r="J94" s="8" t="str">
        <f t="shared" si="2"/>
        <v>NtrAlmaty93.PQTC.07.03.26</v>
      </c>
      <c r="L94" s="6" t="str">
        <f t="shared" si="3"/>
        <v>93 NtrAlmaty93.PQTC.07.03.26 Ночные Алматы</v>
      </c>
    </row>
    <row r="95" spans="1:12">
      <c r="A95" s="5">
        <v>94</v>
      </c>
      <c r="C95" s="6" t="s">
        <v>10</v>
      </c>
      <c r="D95" s="7" t="s">
        <v>193</v>
      </c>
      <c r="E95" s="6" t="s">
        <v>201</v>
      </c>
      <c r="F95" s="8" t="s">
        <v>13</v>
      </c>
      <c r="G95" s="8" t="s">
        <v>200</v>
      </c>
      <c r="H95" s="6" t="s">
        <v>202</v>
      </c>
      <c r="J95" s="8" t="str">
        <f t="shared" si="2"/>
        <v>NtrAlmaty94.PQTC.07.03.26</v>
      </c>
      <c r="L95" s="6" t="str">
        <f t="shared" si="3"/>
        <v>94 NtrAlmaty94.PQTC.07.03.26 Вечерний Алматы</v>
      </c>
    </row>
    <row r="96" spans="1:12">
      <c r="A96" s="5">
        <v>95</v>
      </c>
      <c r="C96" s="6" t="s">
        <v>10</v>
      </c>
      <c r="D96" s="7" t="s">
        <v>193</v>
      </c>
      <c r="E96" s="6" t="s">
        <v>203</v>
      </c>
      <c r="F96" s="8" t="s">
        <v>13</v>
      </c>
      <c r="G96" s="8" t="s">
        <v>200</v>
      </c>
      <c r="H96" s="6" t="s">
        <v>204</v>
      </c>
      <c r="J96" s="8" t="str">
        <f t="shared" si="2"/>
        <v>NtrAlmaty95.PQTC.07.03.26</v>
      </c>
      <c r="L96" s="6" t="str">
        <f t="shared" si="3"/>
        <v>95 NtrAlmaty95.PQTC.07.03.26 Алматы беседка Ротонда</v>
      </c>
    </row>
    <row r="97" spans="1:12">
      <c r="A97" s="5">
        <v>96</v>
      </c>
      <c r="C97" s="6" t="s">
        <v>10</v>
      </c>
      <c r="D97" s="7" t="s">
        <v>193</v>
      </c>
      <c r="E97" s="6" t="s">
        <v>205</v>
      </c>
      <c r="F97" s="8" t="s">
        <v>13</v>
      </c>
      <c r="G97" s="8" t="s">
        <v>200</v>
      </c>
      <c r="H97" s="6" t="s">
        <v>204</v>
      </c>
      <c r="J97" s="8" t="str">
        <f t="shared" si="2"/>
        <v>NtrAlmaty96.PQTC.07.03.26</v>
      </c>
      <c r="L97" s="6" t="str">
        <f t="shared" si="3"/>
        <v>96 NtrAlmaty96.PQTC.07.03.26 Алматы беседка Ротонда</v>
      </c>
    </row>
    <row r="98" spans="1:12">
      <c r="A98" s="5">
        <v>97</v>
      </c>
      <c r="C98" s="6" t="s">
        <v>10</v>
      </c>
      <c r="D98" s="7" t="s">
        <v>193</v>
      </c>
      <c r="E98" s="6" t="s">
        <v>206</v>
      </c>
      <c r="F98" s="8" t="s">
        <v>13</v>
      </c>
      <c r="G98" s="8" t="s">
        <v>200</v>
      </c>
      <c r="H98" s="6" t="s">
        <v>207</v>
      </c>
      <c r="J98" s="8" t="str">
        <f t="shared" si="2"/>
        <v>NtrAlmaty97.PQTC.07.03.26</v>
      </c>
      <c r="L98" s="6" t="str">
        <f t="shared" si="3"/>
        <v>97 NtrAlmaty97.PQTC.07.03.26 Алматы парк Кок-Тобе</v>
      </c>
    </row>
    <row r="99" spans="1:12">
      <c r="A99" s="5">
        <v>98</v>
      </c>
      <c r="C99" s="6" t="s">
        <v>10</v>
      </c>
      <c r="D99" s="7" t="s">
        <v>193</v>
      </c>
      <c r="E99" s="6" t="s">
        <v>208</v>
      </c>
      <c r="F99" s="8" t="s">
        <v>13</v>
      </c>
      <c r="G99" s="8" t="s">
        <v>200</v>
      </c>
      <c r="H99" s="6" t="s">
        <v>207</v>
      </c>
      <c r="J99" s="8" t="str">
        <f t="shared" si="2"/>
        <v>NtrAlmaty98.PQTC.07.03.26</v>
      </c>
      <c r="L99" s="6" t="str">
        <f t="shared" si="3"/>
        <v>98 NtrAlmaty98.PQTC.07.03.26 Алматы парк Кок-Тобе</v>
      </c>
    </row>
    <row r="100" spans="1:12">
      <c r="A100" s="5">
        <v>99</v>
      </c>
      <c r="C100" s="6" t="s">
        <v>10</v>
      </c>
      <c r="D100" s="7" t="s">
        <v>193</v>
      </c>
      <c r="E100" s="6" t="s">
        <v>209</v>
      </c>
      <c r="F100" s="8" t="s">
        <v>13</v>
      </c>
      <c r="G100" s="8" t="s">
        <v>200</v>
      </c>
      <c r="H100" s="6" t="s">
        <v>210</v>
      </c>
      <c r="J100" s="8" t="str">
        <f t="shared" si="2"/>
        <v>NtrAlmaty99.PQTC.07.03.26</v>
      </c>
      <c r="L100" s="6" t="str">
        <f t="shared" si="3"/>
        <v>99 NtrAlmaty99.PQTC.07.03.26 Алматы Вознесенский собор</v>
      </c>
    </row>
    <row r="101" spans="1:12">
      <c r="A101" s="5">
        <v>100</v>
      </c>
      <c r="C101" s="6" t="s">
        <v>10</v>
      </c>
      <c r="D101" s="7" t="s">
        <v>193</v>
      </c>
      <c r="E101" s="6" t="s">
        <v>211</v>
      </c>
      <c r="F101" s="8" t="s">
        <v>13</v>
      </c>
      <c r="G101" s="8" t="s">
        <v>200</v>
      </c>
      <c r="H101" s="6" t="s">
        <v>210</v>
      </c>
      <c r="J101" s="8" t="str">
        <f t="shared" si="2"/>
        <v>NtrAlmaty100.PQTC.07.03.26</v>
      </c>
      <c r="L101" s="6" t="str">
        <f t="shared" si="3"/>
        <v>100 NtrAlmaty100.PQTC.07.03.26 Алматы Вознесенский собор</v>
      </c>
    </row>
    <row r="102" spans="1:12">
      <c r="A102" s="5">
        <v>101</v>
      </c>
      <c r="C102" s="6" t="s">
        <v>10</v>
      </c>
      <c r="D102" s="7" t="s">
        <v>193</v>
      </c>
      <c r="E102" s="6" t="s">
        <v>212</v>
      </c>
      <c r="F102" s="8" t="s">
        <v>13</v>
      </c>
      <c r="G102" s="8" t="s">
        <v>200</v>
      </c>
      <c r="H102" s="6" t="s">
        <v>213</v>
      </c>
      <c r="J102" s="8" t="str">
        <f t="shared" si="2"/>
        <v>NtrAlmaty101.PQTC.07.03.26</v>
      </c>
      <c r="L102" s="6" t="str">
        <f t="shared" si="3"/>
        <v>101 NtrAlmaty101.PQTC.07.03.26 Алматы Свято-Никольский собор</v>
      </c>
    </row>
    <row r="103" spans="1:12">
      <c r="A103" s="5">
        <v>102</v>
      </c>
      <c r="C103" s="6" t="s">
        <v>10</v>
      </c>
      <c r="D103" s="7" t="s">
        <v>193</v>
      </c>
      <c r="E103" s="6" t="s">
        <v>214</v>
      </c>
      <c r="F103" s="8" t="s">
        <v>13</v>
      </c>
      <c r="G103" s="8" t="s">
        <v>200</v>
      </c>
      <c r="H103" s="6" t="s">
        <v>215</v>
      </c>
      <c r="J103" s="8" t="str">
        <f t="shared" si="2"/>
        <v>NtrAlmaty102.PQTC.07.03.26</v>
      </c>
      <c r="L103" s="6" t="str">
        <f t="shared" si="3"/>
        <v>102 NtrAlmaty102.PQTC.07.03.26 Алматы Центральная мечеть</v>
      </c>
    </row>
    <row r="104" spans="1:12">
      <c r="A104" s="5">
        <v>103</v>
      </c>
      <c r="C104" s="6" t="s">
        <v>10</v>
      </c>
      <c r="D104" s="7" t="s">
        <v>193</v>
      </c>
      <c r="E104" s="6" t="s">
        <v>216</v>
      </c>
      <c r="F104" s="8" t="s">
        <v>13</v>
      </c>
      <c r="G104" s="8" t="s">
        <v>200</v>
      </c>
      <c r="H104" s="6" t="s">
        <v>215</v>
      </c>
      <c r="J104" s="8" t="str">
        <f t="shared" si="2"/>
        <v>NtrAlmaty103.PQTC.07.03.26</v>
      </c>
      <c r="L104" s="6" t="str">
        <f t="shared" si="3"/>
        <v>103 NtrAlmaty103.PQTC.07.03.26 Алматы Центральная мечеть</v>
      </c>
    </row>
    <row r="105" spans="1:12">
      <c r="A105" s="5">
        <v>104</v>
      </c>
      <c r="C105" s="6" t="s">
        <v>10</v>
      </c>
      <c r="D105" s="7" t="s">
        <v>193</v>
      </c>
      <c r="E105" s="6" t="s">
        <v>217</v>
      </c>
      <c r="F105" s="8" t="s">
        <v>13</v>
      </c>
      <c r="G105" s="8" t="s">
        <v>200</v>
      </c>
      <c r="H105" s="6" t="s">
        <v>195</v>
      </c>
      <c r="J105" s="8" t="str">
        <f t="shared" si="2"/>
        <v>NtrAlmaty104.PQTC.07.03.26</v>
      </c>
      <c r="L105" s="6" t="str">
        <f t="shared" si="3"/>
        <v>104 NtrAlmaty104.PQTC.07.03.26 Алматы</v>
      </c>
    </row>
    <row r="106" spans="1:12">
      <c r="A106" s="5">
        <v>105</v>
      </c>
      <c r="C106" s="6" t="s">
        <v>10</v>
      </c>
      <c r="D106" s="7" t="s">
        <v>193</v>
      </c>
      <c r="E106" s="6" t="s">
        <v>218</v>
      </c>
      <c r="F106" s="8" t="s">
        <v>13</v>
      </c>
      <c r="G106" s="8" t="s">
        <v>200</v>
      </c>
      <c r="H106" s="6" t="s">
        <v>215</v>
      </c>
      <c r="J106" s="8" t="str">
        <f t="shared" si="2"/>
        <v>NtrAlmaty105.PQTC.07.03.26</v>
      </c>
      <c r="L106" s="6" t="str">
        <f t="shared" si="3"/>
        <v>105 NtrAlmaty105.PQTC.07.03.26 Алматы Центральная мечеть</v>
      </c>
    </row>
    <row r="107" spans="1:12">
      <c r="A107" s="5">
        <v>106</v>
      </c>
      <c r="C107" s="6" t="s">
        <v>10</v>
      </c>
      <c r="D107" s="7" t="s">
        <v>193</v>
      </c>
      <c r="E107" s="6" t="s">
        <v>219</v>
      </c>
      <c r="F107" s="8" t="s">
        <v>13</v>
      </c>
      <c r="G107" s="8" t="s">
        <v>200</v>
      </c>
      <c r="H107" s="6" t="s">
        <v>220</v>
      </c>
      <c r="J107" s="8" t="str">
        <f t="shared" si="2"/>
        <v>NtrAlmaty106.PQTC.07.03.26</v>
      </c>
      <c r="L107" s="6" t="str">
        <f t="shared" si="3"/>
        <v>106 NtrAlmaty106.PQTC.07.03.26 Алматы Центральная площадь</v>
      </c>
    </row>
    <row r="108" spans="1:12">
      <c r="A108" s="5">
        <v>107</v>
      </c>
      <c r="C108" s="6" t="s">
        <v>10</v>
      </c>
      <c r="D108" s="7" t="s">
        <v>193</v>
      </c>
      <c r="E108" s="6" t="s">
        <v>221</v>
      </c>
      <c r="F108" s="8" t="s">
        <v>13</v>
      </c>
      <c r="G108" s="8" t="s">
        <v>200</v>
      </c>
      <c r="H108" s="6" t="s">
        <v>222</v>
      </c>
      <c r="J108" s="8" t="str">
        <f t="shared" si="2"/>
        <v>NtrAlmaty107.PQTC.07.03.26</v>
      </c>
      <c r="L108" s="6" t="str">
        <f t="shared" si="3"/>
        <v>107 NtrAlmaty107.PQTC.07.03.26 Алматы здание Верховного совета</v>
      </c>
    </row>
    <row r="109" spans="1:12">
      <c r="A109" s="5">
        <v>108</v>
      </c>
      <c r="C109" s="6" t="s">
        <v>10</v>
      </c>
      <c r="D109" s="7" t="s">
        <v>193</v>
      </c>
      <c r="E109" s="6" t="s">
        <v>223</v>
      </c>
      <c r="F109" s="8" t="s">
        <v>13</v>
      </c>
      <c r="G109" s="8" t="s">
        <v>200</v>
      </c>
      <c r="H109" s="6" t="s">
        <v>224</v>
      </c>
      <c r="J109" s="8" t="str">
        <f t="shared" si="2"/>
        <v>NtrAlmaty108.PQTC.07.03.26</v>
      </c>
      <c r="L109" s="6" t="str">
        <f t="shared" si="3"/>
        <v>108 NtrAlmaty108.PQTC.07.03.26 Алматы Бакшасарай</v>
      </c>
    </row>
    <row r="110" spans="1:12">
      <c r="A110" s="5">
        <v>109</v>
      </c>
      <c r="C110" s="6" t="s">
        <v>10</v>
      </c>
      <c r="D110" s="7" t="s">
        <v>193</v>
      </c>
      <c r="E110" s="6" t="s">
        <v>225</v>
      </c>
      <c r="F110" s="8" t="s">
        <v>13</v>
      </c>
      <c r="G110" s="8" t="s">
        <v>226</v>
      </c>
      <c r="H110" s="6" t="s">
        <v>227</v>
      </c>
      <c r="J110" s="8" t="str">
        <f t="shared" si="2"/>
        <v>NtrAlmaty109.PQTC.08.03.26</v>
      </c>
      <c r="L110" s="6" t="str">
        <f t="shared" si="3"/>
        <v>109 NtrAlmaty109.PQTC.08.03.26 Алматы отель Казахстан</v>
      </c>
    </row>
    <row r="111" spans="1:12">
      <c r="A111" s="5">
        <v>110</v>
      </c>
      <c r="C111" s="6" t="s">
        <v>10</v>
      </c>
      <c r="D111" s="7" t="s">
        <v>193</v>
      </c>
      <c r="E111" s="6" t="s">
        <v>228</v>
      </c>
      <c r="F111" s="8" t="s">
        <v>13</v>
      </c>
      <c r="G111" s="8" t="s">
        <v>226</v>
      </c>
      <c r="H111" s="6" t="s">
        <v>229</v>
      </c>
      <c r="J111" s="8" t="str">
        <f t="shared" si="2"/>
        <v>NtrAlmaty110.PQTC.08.03.26</v>
      </c>
      <c r="L111" s="6" t="str">
        <f t="shared" si="3"/>
        <v>110 NtrAlmaty110.PQTC.08.03.26 Алматы Кольсайские озёра</v>
      </c>
    </row>
    <row r="112" spans="1:12">
      <c r="A112" s="5">
        <v>111</v>
      </c>
      <c r="C112" s="6" t="s">
        <v>10</v>
      </c>
      <c r="D112" s="7" t="s">
        <v>193</v>
      </c>
      <c r="E112" s="6" t="s">
        <v>230</v>
      </c>
      <c r="F112" s="8" t="s">
        <v>13</v>
      </c>
      <c r="G112" s="8" t="s">
        <v>226</v>
      </c>
      <c r="H112" s="6" t="s">
        <v>231</v>
      </c>
      <c r="J112" s="8" t="str">
        <f t="shared" si="2"/>
        <v>NtrAlmaty111.PQTC.08.03.26</v>
      </c>
      <c r="L112" s="6" t="str">
        <f t="shared" si="3"/>
        <v>111 NtrAlmaty111.PQTC.08.03.26 Алматы Каинды</v>
      </c>
    </row>
    <row r="113" spans="1:12">
      <c r="A113" s="5">
        <v>112</v>
      </c>
      <c r="C113" s="6" t="s">
        <v>10</v>
      </c>
      <c r="D113" s="7" t="s">
        <v>193</v>
      </c>
      <c r="E113" s="6" t="s">
        <v>232</v>
      </c>
      <c r="F113" s="8" t="s">
        <v>13</v>
      </c>
      <c r="G113" s="8" t="s">
        <v>226</v>
      </c>
      <c r="H113" s="6" t="s">
        <v>231</v>
      </c>
      <c r="J113" s="8" t="str">
        <f t="shared" si="2"/>
        <v>NtrAlmaty112.PQTC.08.03.26</v>
      </c>
      <c r="L113" s="6" t="str">
        <f t="shared" si="3"/>
        <v>112 NtrAlmaty112.PQTC.08.03.26 Алматы Каинды</v>
      </c>
    </row>
    <row r="114" spans="1:12">
      <c r="A114" s="5">
        <v>113</v>
      </c>
      <c r="C114" s="6" t="s">
        <v>10</v>
      </c>
      <c r="D114" s="7" t="s">
        <v>193</v>
      </c>
      <c r="E114" s="6" t="s">
        <v>233</v>
      </c>
      <c r="F114" s="8" t="s">
        <v>13</v>
      </c>
      <c r="G114" s="8" t="s">
        <v>226</v>
      </c>
      <c r="H114" s="6" t="s">
        <v>234</v>
      </c>
      <c r="J114" s="8" t="str">
        <f t="shared" si="2"/>
        <v>NtrAlmaty113.PQTC.08.03.26</v>
      </c>
      <c r="L114" s="6" t="str">
        <f t="shared" si="3"/>
        <v>113 NtrAlmaty113.PQTC.08.03.26 Большое Алматинское озеро</v>
      </c>
    </row>
    <row r="115" spans="1:12">
      <c r="A115" s="5">
        <v>114</v>
      </c>
      <c r="C115" s="6" t="s">
        <v>10</v>
      </c>
      <c r="D115" s="7" t="s">
        <v>193</v>
      </c>
      <c r="E115" s="6" t="s">
        <v>235</v>
      </c>
      <c r="F115" s="8" t="s">
        <v>13</v>
      </c>
      <c r="G115" s="8" t="s">
        <v>226</v>
      </c>
      <c r="H115" s="6" t="s">
        <v>234</v>
      </c>
      <c r="J115" s="8" t="str">
        <f t="shared" si="2"/>
        <v>NtrAlmaty114.PQTC.08.03.26</v>
      </c>
      <c r="L115" s="6" t="str">
        <f t="shared" si="3"/>
        <v>114 NtrAlmaty114.PQTC.08.03.26 Большое Алматинское озеро</v>
      </c>
    </row>
    <row r="116" spans="1:12">
      <c r="A116" s="5">
        <v>115</v>
      </c>
      <c r="C116" s="6" t="s">
        <v>10</v>
      </c>
      <c r="D116" s="7" t="s">
        <v>193</v>
      </c>
      <c r="E116" s="6" t="s">
        <v>236</v>
      </c>
      <c r="F116" s="8" t="s">
        <v>13</v>
      </c>
      <c r="G116" s="8" t="s">
        <v>226</v>
      </c>
      <c r="H116" s="6" t="s">
        <v>237</v>
      </c>
      <c r="J116" s="8" t="str">
        <f t="shared" si="2"/>
        <v>NtrAlmaty115.PQTC.08.03.26</v>
      </c>
      <c r="L116" s="6" t="str">
        <f t="shared" si="3"/>
        <v>115 NtrAlmaty115.PQTC.08.03.26 Алматы канатная дорога</v>
      </c>
    </row>
    <row r="117" spans="1:12">
      <c r="A117" s="5">
        <v>116</v>
      </c>
      <c r="C117" s="6" t="s">
        <v>10</v>
      </c>
      <c r="D117" s="7" t="s">
        <v>193</v>
      </c>
      <c r="E117" s="6" t="s">
        <v>238</v>
      </c>
      <c r="F117" s="8" t="s">
        <v>13</v>
      </c>
      <c r="G117" s="8" t="s">
        <v>226</v>
      </c>
      <c r="H117" s="6" t="s">
        <v>239</v>
      </c>
      <c r="J117" s="8" t="str">
        <f t="shared" si="2"/>
        <v>NtrAlmaty116.PQTC.08.03.26</v>
      </c>
      <c r="L117" s="6" t="str">
        <f t="shared" si="3"/>
        <v>116 NtrAlmaty116.PQTC.08.03.26 Алматы каньон чарынский</v>
      </c>
    </row>
    <row r="118" spans="1:12">
      <c r="A118" s="5">
        <v>117</v>
      </c>
      <c r="C118" s="6" t="s">
        <v>10</v>
      </c>
      <c r="D118" s="7" t="s">
        <v>193</v>
      </c>
      <c r="E118" s="6" t="s">
        <v>240</v>
      </c>
      <c r="F118" s="8" t="s">
        <v>13</v>
      </c>
      <c r="G118" s="8" t="s">
        <v>226</v>
      </c>
      <c r="H118" s="6" t="s">
        <v>241</v>
      </c>
      <c r="J118" s="8" t="str">
        <f t="shared" si="2"/>
        <v>NtrAlmaty117.PQTC.08.03.26</v>
      </c>
      <c r="L118" s="6" t="str">
        <f t="shared" si="3"/>
        <v>117 NtrAlmaty117.PQTC.08.03.26 Алматы монумент независимости</v>
      </c>
    </row>
    <row r="119" spans="1:12">
      <c r="A119" s="5">
        <v>118</v>
      </c>
      <c r="C119" s="6" t="s">
        <v>10</v>
      </c>
      <c r="D119" s="7" t="s">
        <v>193</v>
      </c>
      <c r="E119" s="6" t="s">
        <v>242</v>
      </c>
      <c r="F119" s="8" t="s">
        <v>13</v>
      </c>
      <c r="G119" s="8" t="s">
        <v>226</v>
      </c>
      <c r="H119" s="6" t="s">
        <v>243</v>
      </c>
      <c r="J119" s="8" t="str">
        <f t="shared" si="2"/>
        <v>NtrAlmaty118.PQTC.08.03.26</v>
      </c>
      <c r="L119" s="6" t="str">
        <f t="shared" si="3"/>
        <v>118 NtrAlmaty118.PQTC.08.03.26 Алматы Чарынский каньон</v>
      </c>
    </row>
    <row r="120" spans="1:12">
      <c r="A120" s="5">
        <v>119</v>
      </c>
      <c r="C120" s="6" t="s">
        <v>10</v>
      </c>
      <c r="D120" s="7" t="s">
        <v>193</v>
      </c>
      <c r="E120" s="6" t="s">
        <v>244</v>
      </c>
      <c r="F120" s="8" t="s">
        <v>13</v>
      </c>
      <c r="G120" s="8" t="s">
        <v>226</v>
      </c>
      <c r="H120" s="6" t="s">
        <v>245</v>
      </c>
      <c r="J120" s="8" t="str">
        <f t="shared" si="2"/>
        <v>NtrAlmaty119.PQTC.08.03.26</v>
      </c>
      <c r="L120" s="6" t="str">
        <f t="shared" si="3"/>
        <v>119 NtrAlmaty119.PQTC.08.03.26 Алматы парк Первого Президента</v>
      </c>
    </row>
    <row r="121" spans="1:12">
      <c r="A121" s="5">
        <v>120</v>
      </c>
      <c r="C121" s="6" t="s">
        <v>246</v>
      </c>
      <c r="D121" s="7" t="s">
        <v>247</v>
      </c>
      <c r="E121" s="6" t="s">
        <v>248</v>
      </c>
      <c r="F121" s="8" t="s">
        <v>13</v>
      </c>
      <c r="G121" s="8" t="s">
        <v>249</v>
      </c>
      <c r="H121" s="6" t="s">
        <v>250</v>
      </c>
      <c r="J121" s="8" t="str">
        <f t="shared" si="2"/>
        <v>OpsPlanet120.PQTC.09.03.26</v>
      </c>
      <c r="L121" s="6" t="str">
        <f t="shared" si="3"/>
        <v>120 OpsPlanet120.PQTC.09.03.26 Планеты</v>
      </c>
    </row>
    <row r="122" spans="1:12">
      <c r="A122" s="5">
        <v>121</v>
      </c>
      <c r="C122" s="6" t="s">
        <v>246</v>
      </c>
      <c r="D122" s="7" t="s">
        <v>247</v>
      </c>
      <c r="E122" s="6" t="s">
        <v>251</v>
      </c>
      <c r="F122" s="8" t="s">
        <v>13</v>
      </c>
      <c r="G122" s="8" t="s">
        <v>249</v>
      </c>
      <c r="H122" s="6" t="s">
        <v>250</v>
      </c>
      <c r="J122" s="8" t="str">
        <f t="shared" si="2"/>
        <v>OpsPlanet121.PQTC.09.03.26</v>
      </c>
      <c r="L122" s="6" t="str">
        <f t="shared" si="3"/>
        <v>121 OpsPlanet121.PQTC.09.03.26 Планеты</v>
      </c>
    </row>
    <row r="123" spans="1:12">
      <c r="A123" s="5">
        <v>122</v>
      </c>
      <c r="C123" s="6" t="s">
        <v>246</v>
      </c>
      <c r="D123" s="7" t="s">
        <v>247</v>
      </c>
      <c r="E123" s="6" t="s">
        <v>252</v>
      </c>
      <c r="F123" s="8" t="s">
        <v>13</v>
      </c>
      <c r="G123" s="8" t="s">
        <v>249</v>
      </c>
      <c r="H123" s="6" t="s">
        <v>250</v>
      </c>
      <c r="J123" s="8" t="str">
        <f t="shared" si="2"/>
        <v>OpsPlanet122.PQTC.09.03.26</v>
      </c>
      <c r="L123" s="6" t="str">
        <f t="shared" si="3"/>
        <v>122 OpsPlanet122.PQTC.09.03.26 Планеты</v>
      </c>
    </row>
    <row r="124" spans="1:12">
      <c r="A124" s="5">
        <v>123</v>
      </c>
      <c r="C124" s="6" t="s">
        <v>246</v>
      </c>
      <c r="D124" s="7" t="s">
        <v>247</v>
      </c>
      <c r="E124" s="6" t="s">
        <v>253</v>
      </c>
      <c r="F124" s="8" t="s">
        <v>13</v>
      </c>
      <c r="G124" s="8" t="s">
        <v>249</v>
      </c>
      <c r="H124" s="6" t="s">
        <v>250</v>
      </c>
      <c r="J124" s="8" t="str">
        <f t="shared" si="2"/>
        <v>OpsPlanet123.PQTC.09.03.26</v>
      </c>
      <c r="L124" s="6" t="str">
        <f t="shared" si="3"/>
        <v>123 OpsPlanet123.PQTC.09.03.26 Планеты</v>
      </c>
    </row>
    <row r="125" spans="1:12">
      <c r="A125" s="5">
        <v>124</v>
      </c>
      <c r="C125" s="6" t="s">
        <v>246</v>
      </c>
      <c r="D125" s="7" t="s">
        <v>247</v>
      </c>
      <c r="E125" s="6" t="s">
        <v>254</v>
      </c>
      <c r="F125" s="8" t="s">
        <v>13</v>
      </c>
      <c r="G125" s="8" t="s">
        <v>249</v>
      </c>
      <c r="H125" s="6" t="s">
        <v>250</v>
      </c>
      <c r="J125" s="8" t="str">
        <f t="shared" si="2"/>
        <v>OpsPlanet124.PQTC.09.03.26</v>
      </c>
      <c r="L125" s="6" t="str">
        <f t="shared" si="3"/>
        <v>124 OpsPlanet124.PQTC.09.03.26 Планеты</v>
      </c>
    </row>
    <row r="126" spans="1:12">
      <c r="A126" s="5">
        <v>125</v>
      </c>
      <c r="C126" s="6" t="s">
        <v>246</v>
      </c>
      <c r="D126" s="7" t="s">
        <v>247</v>
      </c>
      <c r="E126" s="6" t="s">
        <v>255</v>
      </c>
      <c r="F126" s="8" t="s">
        <v>13</v>
      </c>
      <c r="G126" s="8" t="s">
        <v>249</v>
      </c>
      <c r="H126" s="6" t="s">
        <v>250</v>
      </c>
      <c r="J126" s="8" t="str">
        <f t="shared" si="2"/>
        <v>OpsPlanet125.PQTC.09.03.26</v>
      </c>
      <c r="L126" s="6" t="str">
        <f t="shared" si="3"/>
        <v>125 OpsPlanet125.PQTC.09.03.26 Планеты</v>
      </c>
    </row>
    <row r="127" spans="1:12">
      <c r="A127" s="5">
        <v>126</v>
      </c>
      <c r="C127" s="6" t="s">
        <v>246</v>
      </c>
      <c r="D127" s="7" t="s">
        <v>247</v>
      </c>
      <c r="E127" s="6" t="s">
        <v>256</v>
      </c>
      <c r="F127" s="8" t="s">
        <v>13</v>
      </c>
      <c r="G127" s="8" t="s">
        <v>249</v>
      </c>
      <c r="H127" s="6" t="s">
        <v>250</v>
      </c>
      <c r="J127" s="8" t="str">
        <f t="shared" si="2"/>
        <v>OpsPlanet126.PQTC.09.03.26</v>
      </c>
      <c r="L127" s="6" t="str">
        <f t="shared" si="3"/>
        <v>126 OpsPlanet126.PQTC.09.03.26 Планеты</v>
      </c>
    </row>
    <row r="128" spans="1:12">
      <c r="A128" s="5">
        <v>127</v>
      </c>
      <c r="C128" s="6" t="s">
        <v>246</v>
      </c>
      <c r="D128" s="7" t="s">
        <v>247</v>
      </c>
      <c r="E128" s="6" t="s">
        <v>257</v>
      </c>
      <c r="F128" s="8" t="s">
        <v>13</v>
      </c>
      <c r="G128" s="8" t="s">
        <v>249</v>
      </c>
      <c r="H128" s="6" t="s">
        <v>250</v>
      </c>
      <c r="J128" s="8" t="str">
        <f t="shared" si="2"/>
        <v>OpsPlanet127.PQTC.09.03.26</v>
      </c>
      <c r="L128" s="6" t="str">
        <f t="shared" si="3"/>
        <v>127 OpsPlanet127.PQTC.09.03.26 Планеты</v>
      </c>
    </row>
    <row r="129" spans="1:12">
      <c r="A129" s="5">
        <v>128</v>
      </c>
      <c r="C129" s="6" t="s">
        <v>246</v>
      </c>
      <c r="D129" s="7" t="s">
        <v>247</v>
      </c>
      <c r="E129" s="6" t="s">
        <v>258</v>
      </c>
      <c r="F129" s="8" t="s">
        <v>13</v>
      </c>
      <c r="G129" s="8" t="s">
        <v>249</v>
      </c>
      <c r="H129" s="6" t="s">
        <v>250</v>
      </c>
      <c r="J129" s="8" t="str">
        <f t="shared" si="2"/>
        <v>OpsPlanet128.PQTC.09.03.26</v>
      </c>
      <c r="L129" s="6" t="str">
        <f t="shared" si="3"/>
        <v>128 OpsPlanet128.PQTC.09.03.26 Планеты</v>
      </c>
    </row>
    <row r="130" spans="1:12">
      <c r="A130" s="5">
        <v>129</v>
      </c>
      <c r="C130" s="6" t="s">
        <v>246</v>
      </c>
      <c r="D130" s="7" t="s">
        <v>247</v>
      </c>
      <c r="E130" s="6" t="s">
        <v>259</v>
      </c>
      <c r="F130" s="8" t="s">
        <v>13</v>
      </c>
      <c r="G130" s="8" t="s">
        <v>249</v>
      </c>
      <c r="H130" s="6" t="s">
        <v>250</v>
      </c>
      <c r="J130" s="8" t="str">
        <f t="shared" ref="J130:J193" si="4">C130&amp;D130&amp;E130&amp;F130&amp;G130</f>
        <v>OpsPlanet129.PQTC.09.03.26</v>
      </c>
      <c r="L130" s="6" t="str">
        <f t="shared" ref="L130:L193" si="5">A130&amp;" "&amp;C130&amp;D130&amp;E130&amp;F130&amp;G130&amp;" "&amp;H130</f>
        <v>129 OpsPlanet129.PQTC.09.03.26 Планеты</v>
      </c>
    </row>
    <row r="131" spans="1:12">
      <c r="A131" s="5">
        <v>130</v>
      </c>
      <c r="C131" s="6" t="s">
        <v>246</v>
      </c>
      <c r="D131" s="7" t="s">
        <v>247</v>
      </c>
      <c r="E131" s="6" t="s">
        <v>260</v>
      </c>
      <c r="F131" s="8" t="s">
        <v>13</v>
      </c>
      <c r="G131" s="8" t="s">
        <v>261</v>
      </c>
      <c r="H131" s="6" t="s">
        <v>250</v>
      </c>
      <c r="J131" s="8" t="str">
        <f t="shared" si="4"/>
        <v>OpsPlanet130.PQTC.10.03.26</v>
      </c>
      <c r="L131" s="6" t="str">
        <f t="shared" si="5"/>
        <v>130 OpsPlanet130.PQTC.10.03.26 Планеты</v>
      </c>
    </row>
    <row r="132" spans="1:12">
      <c r="A132" s="5">
        <v>131</v>
      </c>
      <c r="C132" s="6" t="s">
        <v>246</v>
      </c>
      <c r="D132" s="7" t="s">
        <v>247</v>
      </c>
      <c r="E132" s="6" t="s">
        <v>262</v>
      </c>
      <c r="F132" s="8" t="s">
        <v>13</v>
      </c>
      <c r="G132" s="8" t="s">
        <v>261</v>
      </c>
      <c r="H132" s="6" t="s">
        <v>250</v>
      </c>
      <c r="J132" s="8" t="str">
        <f t="shared" si="4"/>
        <v>OpsPlanet131.PQTC.10.03.26</v>
      </c>
      <c r="L132" s="6" t="str">
        <f t="shared" si="5"/>
        <v>131 OpsPlanet131.PQTC.10.03.26 Планеты</v>
      </c>
    </row>
    <row r="133" spans="1:12">
      <c r="A133" s="5">
        <v>132</v>
      </c>
      <c r="C133" s="6" t="s">
        <v>246</v>
      </c>
      <c r="D133" s="7" t="s">
        <v>247</v>
      </c>
      <c r="E133" s="6" t="s">
        <v>263</v>
      </c>
      <c r="F133" s="8" t="s">
        <v>13</v>
      </c>
      <c r="G133" s="8" t="s">
        <v>261</v>
      </c>
      <c r="H133" s="6" t="s">
        <v>250</v>
      </c>
      <c r="J133" s="8" t="str">
        <f t="shared" si="4"/>
        <v>OpsPlanet132.PQTC.10.03.26</v>
      </c>
      <c r="L133" s="6" t="str">
        <f t="shared" si="5"/>
        <v>132 OpsPlanet132.PQTC.10.03.26 Планеты</v>
      </c>
    </row>
    <row r="134" spans="1:12">
      <c r="A134" s="5">
        <v>133</v>
      </c>
      <c r="C134" s="6" t="s">
        <v>246</v>
      </c>
      <c r="D134" s="7" t="s">
        <v>247</v>
      </c>
      <c r="E134" s="6" t="s">
        <v>264</v>
      </c>
      <c r="F134" s="8" t="s">
        <v>13</v>
      </c>
      <c r="G134" s="8" t="s">
        <v>261</v>
      </c>
      <c r="H134" s="6" t="s">
        <v>250</v>
      </c>
      <c r="J134" s="8" t="str">
        <f t="shared" si="4"/>
        <v>OpsPlanet133.PQTC.10.03.26</v>
      </c>
      <c r="L134" s="6" t="str">
        <f t="shared" si="5"/>
        <v>133 OpsPlanet133.PQTC.10.03.26 Планеты</v>
      </c>
    </row>
    <row r="135" spans="1:12">
      <c r="A135" s="5">
        <v>134</v>
      </c>
      <c r="C135" s="6" t="s">
        <v>246</v>
      </c>
      <c r="D135" s="7" t="s">
        <v>247</v>
      </c>
      <c r="E135" s="6" t="s">
        <v>265</v>
      </c>
      <c r="F135" s="8" t="s">
        <v>13</v>
      </c>
      <c r="G135" s="8" t="s">
        <v>261</v>
      </c>
      <c r="H135" s="6" t="s">
        <v>250</v>
      </c>
      <c r="J135" s="8" t="str">
        <f t="shared" si="4"/>
        <v>OpsPlanet134.PQTC.10.03.26</v>
      </c>
      <c r="L135" s="6" t="str">
        <f t="shared" si="5"/>
        <v>134 OpsPlanet134.PQTC.10.03.26 Планеты</v>
      </c>
    </row>
    <row r="136" spans="1:12">
      <c r="A136" s="5">
        <v>135</v>
      </c>
      <c r="C136" s="6" t="s">
        <v>246</v>
      </c>
      <c r="D136" s="7" t="s">
        <v>247</v>
      </c>
      <c r="E136" s="6" t="s">
        <v>266</v>
      </c>
      <c r="F136" s="8" t="s">
        <v>13</v>
      </c>
      <c r="G136" s="8" t="s">
        <v>261</v>
      </c>
      <c r="H136" s="6" t="s">
        <v>250</v>
      </c>
      <c r="J136" s="8" t="str">
        <f t="shared" si="4"/>
        <v>OpsPlanet135.PQTC.10.03.26</v>
      </c>
      <c r="L136" s="6" t="str">
        <f t="shared" si="5"/>
        <v>135 OpsPlanet135.PQTC.10.03.26 Планеты</v>
      </c>
    </row>
    <row r="137" spans="1:12">
      <c r="A137" s="5">
        <v>136</v>
      </c>
      <c r="C137" s="6" t="s">
        <v>246</v>
      </c>
      <c r="D137" s="7" t="s">
        <v>247</v>
      </c>
      <c r="E137" s="6" t="s">
        <v>267</v>
      </c>
      <c r="F137" s="8" t="s">
        <v>13</v>
      </c>
      <c r="G137" s="8" t="s">
        <v>261</v>
      </c>
      <c r="H137" s="6" t="s">
        <v>250</v>
      </c>
      <c r="J137" s="8" t="str">
        <f t="shared" si="4"/>
        <v>OpsPlanet136.PQTC.10.03.26</v>
      </c>
      <c r="L137" s="6" t="str">
        <f t="shared" si="5"/>
        <v>136 OpsPlanet136.PQTC.10.03.26 Планеты</v>
      </c>
    </row>
    <row r="138" spans="1:12">
      <c r="A138" s="5">
        <v>137</v>
      </c>
      <c r="C138" s="6" t="s">
        <v>246</v>
      </c>
      <c r="D138" s="7" t="s">
        <v>247</v>
      </c>
      <c r="E138" s="6" t="s">
        <v>268</v>
      </c>
      <c r="F138" s="8" t="s">
        <v>13</v>
      </c>
      <c r="G138" s="8" t="s">
        <v>261</v>
      </c>
      <c r="H138" s="6" t="s">
        <v>250</v>
      </c>
      <c r="J138" s="8" t="str">
        <f t="shared" si="4"/>
        <v>OpsPlanet137.PQTC.10.03.26</v>
      </c>
      <c r="L138" s="6" t="str">
        <f t="shared" si="5"/>
        <v>137 OpsPlanet137.PQTC.10.03.26 Планеты</v>
      </c>
    </row>
    <row r="139" spans="1:12">
      <c r="A139" s="5">
        <v>138</v>
      </c>
      <c r="C139" s="6" t="s">
        <v>246</v>
      </c>
      <c r="D139" s="7" t="s">
        <v>247</v>
      </c>
      <c r="E139" s="6" t="s">
        <v>269</v>
      </c>
      <c r="F139" s="8" t="s">
        <v>13</v>
      </c>
      <c r="G139" s="8" t="s">
        <v>261</v>
      </c>
      <c r="H139" s="6" t="s">
        <v>250</v>
      </c>
      <c r="J139" s="8" t="str">
        <f t="shared" si="4"/>
        <v>OpsPlanet138.PQTC.10.03.26</v>
      </c>
      <c r="L139" s="6" t="str">
        <f t="shared" si="5"/>
        <v>138 OpsPlanet138.PQTC.10.03.26 Планеты</v>
      </c>
    </row>
    <row r="140" spans="1:12">
      <c r="A140" s="5">
        <v>139</v>
      </c>
      <c r="C140" s="6" t="s">
        <v>246</v>
      </c>
      <c r="D140" s="7" t="s">
        <v>247</v>
      </c>
      <c r="E140" s="6" t="s">
        <v>270</v>
      </c>
      <c r="F140" s="8" t="s">
        <v>13</v>
      </c>
      <c r="G140" s="8" t="s">
        <v>261</v>
      </c>
      <c r="H140" s="6" t="s">
        <v>250</v>
      </c>
      <c r="J140" s="8" t="str">
        <f t="shared" si="4"/>
        <v>OpsPlanet139.PQTC.10.03.26</v>
      </c>
      <c r="L140" s="6" t="str">
        <f t="shared" si="5"/>
        <v>139 OpsPlanet139.PQTC.10.03.26 Планеты</v>
      </c>
    </row>
    <row r="141" spans="1:12">
      <c r="A141" s="5">
        <v>140</v>
      </c>
      <c r="C141" s="6" t="s">
        <v>246</v>
      </c>
      <c r="D141" s="7" t="s">
        <v>247</v>
      </c>
      <c r="E141" s="6" t="s">
        <v>271</v>
      </c>
      <c r="F141" s="8" t="s">
        <v>13</v>
      </c>
      <c r="G141" s="8" t="s">
        <v>261</v>
      </c>
      <c r="H141" s="6" t="s">
        <v>250</v>
      </c>
      <c r="J141" s="8" t="str">
        <f t="shared" si="4"/>
        <v>OpsPlanet140.PQTC.10.03.26</v>
      </c>
      <c r="L141" s="6" t="str">
        <f t="shared" si="5"/>
        <v>140 OpsPlanet140.PQTC.10.03.26 Планеты</v>
      </c>
    </row>
    <row r="142" spans="1:12">
      <c r="A142" s="5">
        <v>141</v>
      </c>
      <c r="C142" s="6" t="s">
        <v>246</v>
      </c>
      <c r="D142" s="7" t="s">
        <v>247</v>
      </c>
      <c r="E142" s="6" t="s">
        <v>272</v>
      </c>
      <c r="F142" s="8" t="s">
        <v>13</v>
      </c>
      <c r="G142" s="8" t="s">
        <v>261</v>
      </c>
      <c r="H142" s="6" t="s">
        <v>250</v>
      </c>
      <c r="J142" s="8" t="str">
        <f t="shared" si="4"/>
        <v>OpsPlanet141.PQTC.10.03.26</v>
      </c>
      <c r="L142" s="6" t="str">
        <f t="shared" si="5"/>
        <v>141 OpsPlanet141.PQTC.10.03.26 Планеты</v>
      </c>
    </row>
    <row r="143" spans="1:12">
      <c r="A143" s="5">
        <v>142</v>
      </c>
      <c r="C143" s="6" t="s">
        <v>246</v>
      </c>
      <c r="D143" s="7" t="s">
        <v>247</v>
      </c>
      <c r="E143" s="6" t="s">
        <v>273</v>
      </c>
      <c r="F143" s="8" t="s">
        <v>13</v>
      </c>
      <c r="G143" s="8" t="s">
        <v>261</v>
      </c>
      <c r="H143" s="6" t="s">
        <v>250</v>
      </c>
      <c r="J143" s="8" t="str">
        <f t="shared" si="4"/>
        <v>OpsPlanet142.PQTC.10.03.26</v>
      </c>
      <c r="L143" s="6" t="str">
        <f t="shared" si="5"/>
        <v>142 OpsPlanet142.PQTC.10.03.26 Планеты</v>
      </c>
    </row>
    <row r="144" spans="1:12">
      <c r="A144" s="5">
        <v>143</v>
      </c>
      <c r="C144" s="6" t="s">
        <v>246</v>
      </c>
      <c r="D144" s="7" t="s">
        <v>247</v>
      </c>
      <c r="E144" s="6" t="s">
        <v>274</v>
      </c>
      <c r="F144" s="8" t="s">
        <v>13</v>
      </c>
      <c r="G144" s="8" t="s">
        <v>261</v>
      </c>
      <c r="H144" s="6" t="s">
        <v>250</v>
      </c>
      <c r="J144" s="8" t="str">
        <f t="shared" si="4"/>
        <v>OpsPlanet143.PQTC.10.03.26</v>
      </c>
      <c r="L144" s="6" t="str">
        <f t="shared" si="5"/>
        <v>143 OpsPlanet143.PQTC.10.03.26 Планеты</v>
      </c>
    </row>
    <row r="145" spans="1:12">
      <c r="A145" s="5">
        <v>144</v>
      </c>
      <c r="C145" s="6" t="s">
        <v>246</v>
      </c>
      <c r="D145" s="7" t="s">
        <v>247</v>
      </c>
      <c r="E145" s="6" t="s">
        <v>275</v>
      </c>
      <c r="F145" s="8" t="s">
        <v>13</v>
      </c>
      <c r="G145" s="8" t="s">
        <v>261</v>
      </c>
      <c r="H145" s="6" t="s">
        <v>250</v>
      </c>
      <c r="J145" s="8" t="str">
        <f t="shared" si="4"/>
        <v>OpsPlanet144.PQTC.10.03.26</v>
      </c>
      <c r="L145" s="6" t="str">
        <f t="shared" si="5"/>
        <v>144 OpsPlanet144.PQTC.10.03.26 Планеты</v>
      </c>
    </row>
    <row r="146" spans="1:12">
      <c r="A146" s="5">
        <v>145</v>
      </c>
      <c r="C146" s="6" t="s">
        <v>246</v>
      </c>
      <c r="D146" s="7" t="s">
        <v>247</v>
      </c>
      <c r="E146" s="6" t="s">
        <v>276</v>
      </c>
      <c r="F146" s="8" t="s">
        <v>13</v>
      </c>
      <c r="G146" s="8" t="s">
        <v>261</v>
      </c>
      <c r="H146" s="6" t="s">
        <v>250</v>
      </c>
      <c r="J146" s="8" t="str">
        <f t="shared" si="4"/>
        <v>OpsPlanet145.PQTC.10.03.26</v>
      </c>
      <c r="L146" s="6" t="str">
        <f t="shared" si="5"/>
        <v>145 OpsPlanet145.PQTC.10.03.26 Планеты</v>
      </c>
    </row>
    <row r="147" spans="1:12">
      <c r="A147" s="5">
        <v>146</v>
      </c>
      <c r="C147" s="6" t="s">
        <v>246</v>
      </c>
      <c r="D147" s="7" t="s">
        <v>247</v>
      </c>
      <c r="E147" s="6" t="s">
        <v>277</v>
      </c>
      <c r="F147" s="8" t="s">
        <v>13</v>
      </c>
      <c r="G147" s="8" t="s">
        <v>261</v>
      </c>
      <c r="H147" s="6" t="s">
        <v>250</v>
      </c>
      <c r="J147" s="8" t="str">
        <f t="shared" si="4"/>
        <v>OpsPlanet146.PQTC.10.03.26</v>
      </c>
      <c r="L147" s="6" t="str">
        <f t="shared" si="5"/>
        <v>146 OpsPlanet146.PQTC.10.03.26 Планеты</v>
      </c>
    </row>
    <row r="148" spans="1:12">
      <c r="A148" s="5">
        <v>147</v>
      </c>
      <c r="C148" s="6" t="s">
        <v>246</v>
      </c>
      <c r="D148" s="7" t="s">
        <v>247</v>
      </c>
      <c r="E148" s="6" t="s">
        <v>278</v>
      </c>
      <c r="F148" s="8" t="s">
        <v>13</v>
      </c>
      <c r="G148" s="8" t="s">
        <v>261</v>
      </c>
      <c r="H148" s="6" t="s">
        <v>250</v>
      </c>
      <c r="J148" s="8" t="str">
        <f t="shared" si="4"/>
        <v>OpsPlanet147.PQTC.10.03.26</v>
      </c>
      <c r="L148" s="6" t="str">
        <f t="shared" si="5"/>
        <v>147 OpsPlanet147.PQTC.10.03.26 Планеты</v>
      </c>
    </row>
    <row r="149" spans="1:12">
      <c r="A149" s="5">
        <v>148</v>
      </c>
      <c r="C149" s="6" t="s">
        <v>246</v>
      </c>
      <c r="D149" s="7" t="s">
        <v>247</v>
      </c>
      <c r="E149" s="6" t="s">
        <v>279</v>
      </c>
      <c r="F149" s="8" t="s">
        <v>13</v>
      </c>
      <c r="G149" s="8" t="s">
        <v>280</v>
      </c>
      <c r="H149" s="6" t="s">
        <v>250</v>
      </c>
      <c r="J149" s="8" t="str">
        <f t="shared" si="4"/>
        <v>OpsPlanet148.PQTC.11.03.26</v>
      </c>
      <c r="L149" s="6" t="str">
        <f t="shared" si="5"/>
        <v>148 OpsPlanet148.PQTC.11.03.26 Планеты</v>
      </c>
    </row>
    <row r="150" spans="1:12">
      <c r="A150" s="5">
        <v>149</v>
      </c>
      <c r="C150" s="6" t="s">
        <v>246</v>
      </c>
      <c r="D150" s="7" t="s">
        <v>247</v>
      </c>
      <c r="E150" s="6" t="s">
        <v>281</v>
      </c>
      <c r="F150" s="8" t="s">
        <v>13</v>
      </c>
      <c r="G150" s="8" t="s">
        <v>280</v>
      </c>
      <c r="H150" s="6" t="s">
        <v>250</v>
      </c>
      <c r="J150" s="8" t="str">
        <f t="shared" si="4"/>
        <v>OpsPlanet149.PQTC.11.03.26</v>
      </c>
      <c r="L150" s="6" t="str">
        <f t="shared" si="5"/>
        <v>149 OpsPlanet149.PQTC.11.03.26 Планеты</v>
      </c>
    </row>
    <row r="151" spans="1:12">
      <c r="A151" s="5">
        <v>150</v>
      </c>
      <c r="C151" s="6" t="s">
        <v>246</v>
      </c>
      <c r="D151" s="7" t="s">
        <v>247</v>
      </c>
      <c r="E151" s="6" t="s">
        <v>282</v>
      </c>
      <c r="F151" s="8" t="s">
        <v>13</v>
      </c>
      <c r="G151" s="8" t="s">
        <v>280</v>
      </c>
      <c r="H151" s="6" t="s">
        <v>250</v>
      </c>
      <c r="J151" s="8" t="str">
        <f t="shared" si="4"/>
        <v>OpsPlanet150.PQTC.11.03.26</v>
      </c>
      <c r="L151" s="6" t="str">
        <f t="shared" si="5"/>
        <v>150 OpsPlanet150.PQTC.11.03.26 Планеты</v>
      </c>
    </row>
    <row r="152" spans="1:12">
      <c r="A152" s="5">
        <v>151</v>
      </c>
      <c r="C152" s="6" t="s">
        <v>246</v>
      </c>
      <c r="D152" s="7" t="s">
        <v>247</v>
      </c>
      <c r="E152" s="6" t="s">
        <v>283</v>
      </c>
      <c r="F152" s="8" t="s">
        <v>13</v>
      </c>
      <c r="G152" s="8" t="s">
        <v>280</v>
      </c>
      <c r="H152" s="6" t="s">
        <v>250</v>
      </c>
      <c r="J152" s="8" t="str">
        <f t="shared" si="4"/>
        <v>OpsPlanet151.PQTC.11.03.26</v>
      </c>
      <c r="L152" s="6" t="str">
        <f t="shared" si="5"/>
        <v>151 OpsPlanet151.PQTC.11.03.26 Планеты</v>
      </c>
    </row>
    <row r="153" spans="1:12">
      <c r="A153" s="5">
        <v>152</v>
      </c>
      <c r="C153" s="6" t="s">
        <v>246</v>
      </c>
      <c r="D153" s="7" t="s">
        <v>247</v>
      </c>
      <c r="E153" s="6" t="s">
        <v>284</v>
      </c>
      <c r="F153" s="8" t="s">
        <v>13</v>
      </c>
      <c r="G153" s="8" t="s">
        <v>280</v>
      </c>
      <c r="H153" s="6" t="s">
        <v>250</v>
      </c>
      <c r="J153" s="8" t="str">
        <f t="shared" si="4"/>
        <v>OpsPlanet152.PQTC.11.03.26</v>
      </c>
      <c r="L153" s="6" t="str">
        <f t="shared" si="5"/>
        <v>152 OpsPlanet152.PQTC.11.03.26 Планеты</v>
      </c>
    </row>
    <row r="154" spans="1:12">
      <c r="A154" s="5">
        <v>153</v>
      </c>
      <c r="C154" s="6" t="s">
        <v>246</v>
      </c>
      <c r="D154" s="7" t="s">
        <v>247</v>
      </c>
      <c r="E154" s="6" t="s">
        <v>285</v>
      </c>
      <c r="F154" s="8" t="s">
        <v>13</v>
      </c>
      <c r="G154" s="8" t="s">
        <v>280</v>
      </c>
      <c r="H154" s="6" t="s">
        <v>250</v>
      </c>
      <c r="J154" s="8" t="str">
        <f t="shared" si="4"/>
        <v>OpsPlanet153.PQTC.11.03.26</v>
      </c>
      <c r="L154" s="6" t="str">
        <f t="shared" si="5"/>
        <v>153 OpsPlanet153.PQTC.11.03.26 Планеты</v>
      </c>
    </row>
    <row r="155" spans="1:12">
      <c r="A155" s="5">
        <v>154</v>
      </c>
      <c r="C155" s="6" t="s">
        <v>246</v>
      </c>
      <c r="D155" s="7" t="s">
        <v>247</v>
      </c>
      <c r="E155" s="6" t="s">
        <v>286</v>
      </c>
      <c r="F155" s="8" t="s">
        <v>13</v>
      </c>
      <c r="G155" s="8" t="s">
        <v>280</v>
      </c>
      <c r="H155" s="6" t="s">
        <v>250</v>
      </c>
      <c r="J155" s="8" t="str">
        <f t="shared" si="4"/>
        <v>OpsPlanet154.PQTC.11.03.26</v>
      </c>
      <c r="L155" s="6" t="str">
        <f t="shared" si="5"/>
        <v>154 OpsPlanet154.PQTC.11.03.26 Планеты</v>
      </c>
    </row>
    <row r="156" spans="1:12">
      <c r="A156" s="5">
        <v>155</v>
      </c>
      <c r="C156" s="6" t="s">
        <v>246</v>
      </c>
      <c r="D156" s="7" t="s">
        <v>247</v>
      </c>
      <c r="E156" s="6" t="s">
        <v>287</v>
      </c>
      <c r="F156" s="8" t="s">
        <v>13</v>
      </c>
      <c r="G156" s="8" t="s">
        <v>280</v>
      </c>
      <c r="H156" s="6" t="s">
        <v>250</v>
      </c>
      <c r="J156" s="8" t="str">
        <f t="shared" si="4"/>
        <v>OpsPlanet155.PQTC.11.03.26</v>
      </c>
      <c r="L156" s="6" t="str">
        <f t="shared" si="5"/>
        <v>155 OpsPlanet155.PQTC.11.03.26 Планеты</v>
      </c>
    </row>
    <row r="157" spans="1:12">
      <c r="A157" s="5">
        <v>156</v>
      </c>
      <c r="C157" s="6" t="s">
        <v>246</v>
      </c>
      <c r="D157" s="7" t="s">
        <v>247</v>
      </c>
      <c r="E157" s="6" t="s">
        <v>288</v>
      </c>
      <c r="F157" s="8" t="s">
        <v>13</v>
      </c>
      <c r="G157" s="8" t="s">
        <v>280</v>
      </c>
      <c r="H157" s="6" t="s">
        <v>250</v>
      </c>
      <c r="J157" s="8" t="str">
        <f t="shared" si="4"/>
        <v>OpsPlanet156.PQTC.11.03.26</v>
      </c>
      <c r="L157" s="6" t="str">
        <f t="shared" si="5"/>
        <v>156 OpsPlanet156.PQTC.11.03.26 Планеты</v>
      </c>
    </row>
    <row r="158" spans="1:12">
      <c r="A158" s="5">
        <v>157</v>
      </c>
      <c r="C158" s="6" t="s">
        <v>246</v>
      </c>
      <c r="D158" s="7" t="s">
        <v>247</v>
      </c>
      <c r="E158" s="6" t="s">
        <v>289</v>
      </c>
      <c r="F158" s="8" t="s">
        <v>13</v>
      </c>
      <c r="G158" s="8" t="s">
        <v>280</v>
      </c>
      <c r="H158" s="6" t="s">
        <v>250</v>
      </c>
      <c r="J158" s="8" t="str">
        <f t="shared" si="4"/>
        <v>OpsPlanet157.PQTC.11.03.26</v>
      </c>
      <c r="L158" s="6" t="str">
        <f t="shared" si="5"/>
        <v>157 OpsPlanet157.PQTC.11.03.26 Планеты</v>
      </c>
    </row>
    <row r="159" spans="1:12">
      <c r="A159" s="5">
        <v>158</v>
      </c>
      <c r="C159" s="6" t="s">
        <v>246</v>
      </c>
      <c r="D159" s="7" t="s">
        <v>247</v>
      </c>
      <c r="E159" s="6" t="s">
        <v>290</v>
      </c>
      <c r="F159" s="8" t="s">
        <v>13</v>
      </c>
      <c r="G159" s="8" t="s">
        <v>291</v>
      </c>
      <c r="H159" s="6" t="s">
        <v>250</v>
      </c>
      <c r="J159" s="8" t="str">
        <f t="shared" si="4"/>
        <v>OpsPlanet158.PQTC.12.03.26</v>
      </c>
      <c r="L159" s="6" t="str">
        <f t="shared" si="5"/>
        <v>158 OpsPlanet158.PQTC.12.03.26 Планеты</v>
      </c>
    </row>
    <row r="160" spans="1:12">
      <c r="A160" s="5">
        <v>159</v>
      </c>
      <c r="C160" s="6" t="s">
        <v>246</v>
      </c>
      <c r="D160" s="7" t="s">
        <v>247</v>
      </c>
      <c r="E160" s="6" t="s">
        <v>292</v>
      </c>
      <c r="F160" s="8" t="s">
        <v>13</v>
      </c>
      <c r="G160" s="8" t="s">
        <v>291</v>
      </c>
      <c r="H160" s="6" t="s">
        <v>250</v>
      </c>
      <c r="J160" s="8" t="str">
        <f t="shared" si="4"/>
        <v>OpsPlanet159.PQTC.12.03.26</v>
      </c>
      <c r="L160" s="6" t="str">
        <f t="shared" si="5"/>
        <v>159 OpsPlanet159.PQTC.12.03.26 Планеты</v>
      </c>
    </row>
    <row r="161" spans="1:12">
      <c r="A161" s="5">
        <v>160</v>
      </c>
      <c r="C161" s="6" t="s">
        <v>246</v>
      </c>
      <c r="D161" s="7" t="s">
        <v>247</v>
      </c>
      <c r="E161" s="6" t="s">
        <v>293</v>
      </c>
      <c r="F161" s="8" t="s">
        <v>13</v>
      </c>
      <c r="G161" s="8" t="s">
        <v>291</v>
      </c>
      <c r="H161" s="6" t="s">
        <v>250</v>
      </c>
      <c r="J161" s="8" t="str">
        <f t="shared" si="4"/>
        <v>OpsPlanet160.PQTC.12.03.26</v>
      </c>
      <c r="L161" s="6" t="str">
        <f t="shared" si="5"/>
        <v>160 OpsPlanet160.PQTC.12.03.26 Планеты</v>
      </c>
    </row>
    <row r="162" spans="1:12">
      <c r="A162" s="5">
        <v>161</v>
      </c>
      <c r="C162" s="6" t="s">
        <v>246</v>
      </c>
      <c r="D162" s="7" t="s">
        <v>247</v>
      </c>
      <c r="E162" s="6" t="s">
        <v>294</v>
      </c>
      <c r="F162" s="8" t="s">
        <v>13</v>
      </c>
      <c r="G162" s="8" t="s">
        <v>291</v>
      </c>
      <c r="H162" s="6" t="s">
        <v>250</v>
      </c>
      <c r="J162" s="8" t="str">
        <f t="shared" si="4"/>
        <v>OpsPlanet161.PQTC.12.03.26</v>
      </c>
      <c r="L162" s="6" t="str">
        <f t="shared" si="5"/>
        <v>161 OpsPlanet161.PQTC.12.03.26 Планеты</v>
      </c>
    </row>
    <row r="163" spans="1:12">
      <c r="A163" s="5">
        <v>162</v>
      </c>
      <c r="C163" s="6" t="s">
        <v>246</v>
      </c>
      <c r="D163" s="7" t="s">
        <v>247</v>
      </c>
      <c r="E163" s="6" t="s">
        <v>295</v>
      </c>
      <c r="F163" s="8" t="s">
        <v>13</v>
      </c>
      <c r="G163" s="8" t="s">
        <v>291</v>
      </c>
      <c r="H163" s="6" t="s">
        <v>250</v>
      </c>
      <c r="J163" s="8" t="str">
        <f t="shared" si="4"/>
        <v>OpsPlanet162.PQTC.12.03.26</v>
      </c>
      <c r="L163" s="6" t="str">
        <f t="shared" si="5"/>
        <v>162 OpsPlanet162.PQTC.12.03.26 Планеты</v>
      </c>
    </row>
    <row r="164" spans="1:12">
      <c r="A164" s="5">
        <v>163</v>
      </c>
      <c r="C164" s="6" t="s">
        <v>246</v>
      </c>
      <c r="D164" s="7" t="s">
        <v>247</v>
      </c>
      <c r="E164" s="6" t="s">
        <v>296</v>
      </c>
      <c r="F164" s="8" t="s">
        <v>13</v>
      </c>
      <c r="G164" s="8" t="s">
        <v>291</v>
      </c>
      <c r="H164" s="6" t="s">
        <v>250</v>
      </c>
      <c r="J164" s="8" t="str">
        <f t="shared" si="4"/>
        <v>OpsPlanet163.PQTC.12.03.26</v>
      </c>
      <c r="L164" s="6" t="str">
        <f t="shared" si="5"/>
        <v>163 OpsPlanet163.PQTC.12.03.26 Планеты</v>
      </c>
    </row>
    <row r="165" spans="1:12">
      <c r="A165" s="5">
        <v>164</v>
      </c>
      <c r="C165" s="6" t="s">
        <v>246</v>
      </c>
      <c r="D165" s="7" t="s">
        <v>247</v>
      </c>
      <c r="E165" s="6" t="s">
        <v>297</v>
      </c>
      <c r="F165" s="8" t="s">
        <v>13</v>
      </c>
      <c r="G165" s="8" t="s">
        <v>291</v>
      </c>
      <c r="H165" s="6" t="s">
        <v>250</v>
      </c>
      <c r="J165" s="8" t="str">
        <f t="shared" si="4"/>
        <v>OpsPlanet164.PQTC.12.03.26</v>
      </c>
      <c r="L165" s="6" t="str">
        <f t="shared" si="5"/>
        <v>164 OpsPlanet164.PQTC.12.03.26 Планеты</v>
      </c>
    </row>
    <row r="166" spans="1:12">
      <c r="A166" s="5">
        <v>165</v>
      </c>
      <c r="C166" s="6" t="s">
        <v>246</v>
      </c>
      <c r="D166" s="7" t="s">
        <v>247</v>
      </c>
      <c r="E166" s="6" t="s">
        <v>298</v>
      </c>
      <c r="F166" s="8" t="s">
        <v>13</v>
      </c>
      <c r="G166" s="8" t="s">
        <v>291</v>
      </c>
      <c r="H166" s="6" t="s">
        <v>250</v>
      </c>
      <c r="J166" s="8" t="str">
        <f t="shared" si="4"/>
        <v>OpsPlanet165.PQTC.12.03.26</v>
      </c>
      <c r="L166" s="6" t="str">
        <f t="shared" si="5"/>
        <v>165 OpsPlanet165.PQTC.12.03.26 Планеты</v>
      </c>
    </row>
    <row r="167" spans="1:12">
      <c r="A167" s="5">
        <v>166</v>
      </c>
      <c r="C167" s="6" t="s">
        <v>246</v>
      </c>
      <c r="D167" s="7" t="s">
        <v>247</v>
      </c>
      <c r="E167" s="6" t="s">
        <v>299</v>
      </c>
      <c r="F167" s="8" t="s">
        <v>13</v>
      </c>
      <c r="G167" s="8" t="s">
        <v>291</v>
      </c>
      <c r="H167" s="6" t="s">
        <v>250</v>
      </c>
      <c r="J167" s="8" t="str">
        <f t="shared" si="4"/>
        <v>OpsPlanet166.PQTC.12.03.26</v>
      </c>
      <c r="L167" s="6" t="str">
        <f t="shared" si="5"/>
        <v>166 OpsPlanet166.PQTC.12.03.26 Планеты</v>
      </c>
    </row>
    <row r="168" spans="1:12">
      <c r="A168" s="5">
        <v>167</v>
      </c>
      <c r="C168" s="6" t="s">
        <v>246</v>
      </c>
      <c r="D168" s="7" t="s">
        <v>247</v>
      </c>
      <c r="E168" s="6" t="s">
        <v>300</v>
      </c>
      <c r="F168" s="8" t="s">
        <v>13</v>
      </c>
      <c r="G168" s="8" t="s">
        <v>291</v>
      </c>
      <c r="H168" s="6" t="s">
        <v>250</v>
      </c>
      <c r="J168" s="8" t="str">
        <f t="shared" si="4"/>
        <v>OpsPlanet167.PQTC.12.03.26</v>
      </c>
      <c r="L168" s="6" t="str">
        <f t="shared" si="5"/>
        <v>167 OpsPlanet167.PQTC.12.03.26 Планеты</v>
      </c>
    </row>
    <row r="169" spans="1:12">
      <c r="A169" s="5">
        <v>168</v>
      </c>
      <c r="C169" s="6" t="s">
        <v>246</v>
      </c>
      <c r="D169" s="7" t="s">
        <v>247</v>
      </c>
      <c r="E169" s="6" t="s">
        <v>301</v>
      </c>
      <c r="F169" s="8" t="s">
        <v>13</v>
      </c>
      <c r="G169" s="8" t="s">
        <v>291</v>
      </c>
      <c r="H169" s="6" t="s">
        <v>250</v>
      </c>
      <c r="J169" s="8" t="str">
        <f t="shared" si="4"/>
        <v>OpsPlanet168.PQTC.12.03.26</v>
      </c>
      <c r="L169" s="6" t="str">
        <f t="shared" si="5"/>
        <v>168 OpsPlanet168.PQTC.12.03.26 Планеты</v>
      </c>
    </row>
    <row r="170" spans="1:12">
      <c r="A170" s="5">
        <v>169</v>
      </c>
      <c r="C170" s="6" t="s">
        <v>246</v>
      </c>
      <c r="D170" s="7" t="s">
        <v>247</v>
      </c>
      <c r="E170" s="6" t="s">
        <v>302</v>
      </c>
      <c r="F170" s="8" t="s">
        <v>13</v>
      </c>
      <c r="G170" s="8" t="s">
        <v>291</v>
      </c>
      <c r="H170" s="6" t="s">
        <v>250</v>
      </c>
      <c r="J170" s="8" t="str">
        <f t="shared" si="4"/>
        <v>OpsPlanet169.PQTC.12.03.26</v>
      </c>
      <c r="L170" s="6" t="str">
        <f t="shared" si="5"/>
        <v>169 OpsPlanet169.PQTC.12.03.26 Планеты</v>
      </c>
    </row>
    <row r="171" spans="1:12">
      <c r="A171" s="5">
        <v>170</v>
      </c>
      <c r="C171" s="6" t="s">
        <v>246</v>
      </c>
      <c r="D171" s="7" t="s">
        <v>247</v>
      </c>
      <c r="E171" s="6" t="s">
        <v>303</v>
      </c>
      <c r="F171" s="8" t="s">
        <v>13</v>
      </c>
      <c r="G171" s="8" t="s">
        <v>291</v>
      </c>
      <c r="H171" s="6" t="s">
        <v>250</v>
      </c>
      <c r="J171" s="8" t="str">
        <f t="shared" si="4"/>
        <v>OpsPlanet170.PQTC.12.03.26</v>
      </c>
      <c r="L171" s="6" t="str">
        <f t="shared" si="5"/>
        <v>170 OpsPlanet170.PQTC.12.03.26 Планеты</v>
      </c>
    </row>
    <row r="172" spans="1:12">
      <c r="A172" s="5">
        <v>171</v>
      </c>
      <c r="C172" s="6" t="s">
        <v>246</v>
      </c>
      <c r="D172" s="7" t="s">
        <v>247</v>
      </c>
      <c r="E172" s="6" t="s">
        <v>304</v>
      </c>
      <c r="F172" s="8" t="s">
        <v>13</v>
      </c>
      <c r="G172" s="8" t="s">
        <v>291</v>
      </c>
      <c r="H172" s="6" t="s">
        <v>250</v>
      </c>
      <c r="J172" s="8" t="str">
        <f t="shared" si="4"/>
        <v>OpsPlanet171.PQTC.12.03.26</v>
      </c>
      <c r="L172" s="6" t="str">
        <f t="shared" si="5"/>
        <v>171 OpsPlanet171.PQTC.12.03.26 Планеты</v>
      </c>
    </row>
    <row r="173" spans="1:12">
      <c r="A173" s="5">
        <v>172</v>
      </c>
      <c r="C173" s="6" t="s">
        <v>246</v>
      </c>
      <c r="D173" s="7" t="s">
        <v>247</v>
      </c>
      <c r="E173" s="6" t="s">
        <v>305</v>
      </c>
      <c r="F173" s="8" t="s">
        <v>13</v>
      </c>
      <c r="G173" s="8" t="s">
        <v>291</v>
      </c>
      <c r="H173" s="6" t="s">
        <v>250</v>
      </c>
      <c r="J173" s="8" t="str">
        <f t="shared" si="4"/>
        <v>OpsPlanet172.PQTC.12.03.26</v>
      </c>
      <c r="L173" s="6" t="str">
        <f t="shared" si="5"/>
        <v>172 OpsPlanet172.PQTC.12.03.26 Планеты</v>
      </c>
    </row>
    <row r="174" spans="1:12">
      <c r="A174" s="5">
        <v>173</v>
      </c>
      <c r="C174" s="6" t="s">
        <v>246</v>
      </c>
      <c r="D174" s="7" t="s">
        <v>247</v>
      </c>
      <c r="E174" s="6" t="s">
        <v>306</v>
      </c>
      <c r="F174" s="8" t="s">
        <v>13</v>
      </c>
      <c r="G174" s="8" t="s">
        <v>291</v>
      </c>
      <c r="H174" s="6" t="s">
        <v>250</v>
      </c>
      <c r="J174" s="8" t="str">
        <f t="shared" si="4"/>
        <v>OpsPlanet173.PQTC.12.03.26</v>
      </c>
      <c r="L174" s="6" t="str">
        <f t="shared" si="5"/>
        <v>173 OpsPlanet173.PQTC.12.03.26 Планеты</v>
      </c>
    </row>
    <row r="175" spans="1:12">
      <c r="A175" s="5">
        <v>174</v>
      </c>
      <c r="C175" s="6" t="s">
        <v>246</v>
      </c>
      <c r="D175" s="7" t="s">
        <v>247</v>
      </c>
      <c r="E175" s="6" t="s">
        <v>307</v>
      </c>
      <c r="F175" s="8" t="s">
        <v>13</v>
      </c>
      <c r="G175" s="8" t="s">
        <v>291</v>
      </c>
      <c r="H175" s="6" t="s">
        <v>250</v>
      </c>
      <c r="J175" s="8" t="str">
        <f t="shared" si="4"/>
        <v>OpsPlanet174.PQTC.12.03.26</v>
      </c>
      <c r="L175" s="6" t="str">
        <f t="shared" si="5"/>
        <v>174 OpsPlanet174.PQTC.12.03.26 Планеты</v>
      </c>
    </row>
    <row r="176" spans="1:12">
      <c r="A176" s="5">
        <v>175</v>
      </c>
      <c r="C176" s="6" t="s">
        <v>246</v>
      </c>
      <c r="D176" s="7" t="s">
        <v>247</v>
      </c>
      <c r="E176" s="6" t="s">
        <v>308</v>
      </c>
      <c r="F176" s="8" t="s">
        <v>13</v>
      </c>
      <c r="G176" s="8" t="s">
        <v>291</v>
      </c>
      <c r="H176" s="6" t="s">
        <v>250</v>
      </c>
      <c r="J176" s="8" t="str">
        <f t="shared" si="4"/>
        <v>OpsPlanet175.PQTC.12.03.26</v>
      </c>
      <c r="L176" s="6" t="str">
        <f t="shared" si="5"/>
        <v>175 OpsPlanet175.PQTC.12.03.26 Планеты</v>
      </c>
    </row>
    <row r="177" spans="1:12">
      <c r="A177" s="5">
        <v>176</v>
      </c>
      <c r="C177" s="6" t="s">
        <v>246</v>
      </c>
      <c r="D177" s="7" t="s">
        <v>247</v>
      </c>
      <c r="E177" s="6" t="s">
        <v>309</v>
      </c>
      <c r="F177" s="8" t="s">
        <v>13</v>
      </c>
      <c r="G177" s="8" t="s">
        <v>291</v>
      </c>
      <c r="H177" s="6" t="s">
        <v>250</v>
      </c>
      <c r="J177" s="8" t="str">
        <f t="shared" si="4"/>
        <v>OpsPlanet176.PQTC.12.03.26</v>
      </c>
      <c r="L177" s="6" t="str">
        <f t="shared" si="5"/>
        <v>176 OpsPlanet176.PQTC.12.03.26 Планеты</v>
      </c>
    </row>
    <row r="178" spans="1:12">
      <c r="A178" s="5">
        <v>177</v>
      </c>
      <c r="C178" s="6" t="s">
        <v>246</v>
      </c>
      <c r="D178" s="7" t="s">
        <v>247</v>
      </c>
      <c r="E178" s="6" t="s">
        <v>310</v>
      </c>
      <c r="F178" s="8" t="s">
        <v>13</v>
      </c>
      <c r="G178" s="8" t="s">
        <v>311</v>
      </c>
      <c r="H178" s="6" t="s">
        <v>250</v>
      </c>
      <c r="J178" s="8" t="str">
        <f t="shared" si="4"/>
        <v>OpsPlanet177.PQTC.13.03.26</v>
      </c>
      <c r="L178" s="6" t="str">
        <f t="shared" si="5"/>
        <v>177 OpsPlanet177.PQTC.13.03.26 Планеты</v>
      </c>
    </row>
    <row r="179" spans="1:12">
      <c r="A179" s="5">
        <v>178</v>
      </c>
      <c r="C179" s="6" t="s">
        <v>246</v>
      </c>
      <c r="D179" s="7" t="s">
        <v>247</v>
      </c>
      <c r="E179" s="6" t="s">
        <v>312</v>
      </c>
      <c r="F179" s="8" t="s">
        <v>13</v>
      </c>
      <c r="G179" s="8" t="s">
        <v>311</v>
      </c>
      <c r="H179" s="6" t="s">
        <v>250</v>
      </c>
      <c r="J179" s="8" t="str">
        <f t="shared" si="4"/>
        <v>OpsPlanet178.PQTC.13.03.26</v>
      </c>
      <c r="L179" s="6" t="str">
        <f t="shared" si="5"/>
        <v>178 OpsPlanet178.PQTC.13.03.26 Планеты</v>
      </c>
    </row>
    <row r="180" spans="1:12">
      <c r="A180" s="5">
        <v>179</v>
      </c>
      <c r="C180" s="6" t="s">
        <v>246</v>
      </c>
      <c r="D180" s="7" t="s">
        <v>247</v>
      </c>
      <c r="E180" s="6" t="s">
        <v>313</v>
      </c>
      <c r="F180" s="8" t="s">
        <v>13</v>
      </c>
      <c r="G180" s="8" t="s">
        <v>311</v>
      </c>
      <c r="H180" s="6" t="s">
        <v>250</v>
      </c>
      <c r="J180" s="8" t="str">
        <f t="shared" si="4"/>
        <v>OpsPlanet179.PQTC.13.03.26</v>
      </c>
      <c r="L180" s="6" t="str">
        <f t="shared" si="5"/>
        <v>179 OpsPlanet179.PQTC.13.03.26 Планеты</v>
      </c>
    </row>
    <row r="181" spans="1:12">
      <c r="A181" s="5">
        <v>180</v>
      </c>
      <c r="C181" s="6" t="s">
        <v>246</v>
      </c>
      <c r="D181" s="7" t="s">
        <v>247</v>
      </c>
      <c r="E181" s="6" t="s">
        <v>314</v>
      </c>
      <c r="F181" s="8" t="s">
        <v>13</v>
      </c>
      <c r="G181" s="8" t="s">
        <v>311</v>
      </c>
      <c r="H181" s="6" t="s">
        <v>250</v>
      </c>
      <c r="J181" s="8" t="str">
        <f t="shared" si="4"/>
        <v>OpsPlanet180.PQTC.13.03.26</v>
      </c>
      <c r="L181" s="6" t="str">
        <f t="shared" si="5"/>
        <v>180 OpsPlanet180.PQTC.13.03.26 Планеты</v>
      </c>
    </row>
    <row r="182" spans="1:12">
      <c r="A182" s="5">
        <v>181</v>
      </c>
      <c r="C182" s="6" t="s">
        <v>246</v>
      </c>
      <c r="D182" s="7" t="s">
        <v>247</v>
      </c>
      <c r="E182" s="6" t="s">
        <v>315</v>
      </c>
      <c r="F182" s="8" t="s">
        <v>13</v>
      </c>
      <c r="G182" s="8" t="s">
        <v>311</v>
      </c>
      <c r="H182" s="6" t="s">
        <v>250</v>
      </c>
      <c r="J182" s="8" t="str">
        <f t="shared" si="4"/>
        <v>OpsPlanet181.PQTC.13.03.26</v>
      </c>
      <c r="L182" s="6" t="str">
        <f t="shared" si="5"/>
        <v>181 OpsPlanet181.PQTC.13.03.26 Планеты</v>
      </c>
    </row>
    <row r="183" spans="1:17">
      <c r="A183" s="18">
        <v>182</v>
      </c>
      <c r="B183" s="19"/>
      <c r="C183" s="19" t="s">
        <v>40</v>
      </c>
      <c r="D183" s="20" t="s">
        <v>316</v>
      </c>
      <c r="E183" s="19" t="s">
        <v>317</v>
      </c>
      <c r="F183" s="19" t="s">
        <v>13</v>
      </c>
      <c r="G183" s="21" t="s">
        <v>311</v>
      </c>
      <c r="H183" s="19" t="s">
        <v>318</v>
      </c>
      <c r="I183" s="19"/>
      <c r="J183" s="21" t="str">
        <f t="shared" si="4"/>
        <v>CupDBDGam182.PQTC.13.03.26</v>
      </c>
      <c r="K183" s="19"/>
      <c r="L183" s="19" t="str">
        <f t="shared" si="5"/>
        <v>182 CupDBDGam182.PQTC.13.03.26 DBD Искра безумия</v>
      </c>
      <c r="M183" s="22"/>
      <c r="N183" s="22"/>
      <c r="O183" s="22"/>
      <c r="P183" s="22"/>
      <c r="Q183" s="22"/>
    </row>
    <row r="184" spans="1:17">
      <c r="A184" s="18">
        <v>183</v>
      </c>
      <c r="B184" s="19"/>
      <c r="C184" s="19" t="s">
        <v>40</v>
      </c>
      <c r="D184" s="20" t="s">
        <v>316</v>
      </c>
      <c r="E184" s="19" t="s">
        <v>319</v>
      </c>
      <c r="F184" s="19" t="s">
        <v>13</v>
      </c>
      <c r="G184" s="21" t="s">
        <v>311</v>
      </c>
      <c r="H184" s="19" t="s">
        <v>320</v>
      </c>
      <c r="I184" s="19"/>
      <c r="J184" s="21" t="str">
        <f t="shared" si="4"/>
        <v>CupDBDGam183.PQTC.13.03.26</v>
      </c>
      <c r="K184" s="19"/>
      <c r="L184" s="19" t="str">
        <f t="shared" si="5"/>
        <v>183 CupDBDGam183.PQTC.13.03.26 DBD Кастлвания</v>
      </c>
      <c r="M184" s="22"/>
      <c r="N184" s="22"/>
      <c r="O184" s="22"/>
      <c r="P184" s="22"/>
      <c r="Q184" s="22"/>
    </row>
    <row r="185" spans="1:17">
      <c r="A185" s="18">
        <v>184</v>
      </c>
      <c r="B185" s="19"/>
      <c r="C185" s="19" t="s">
        <v>40</v>
      </c>
      <c r="D185" s="20" t="s">
        <v>316</v>
      </c>
      <c r="E185" s="19" t="s">
        <v>321</v>
      </c>
      <c r="F185" s="19" t="s">
        <v>13</v>
      </c>
      <c r="G185" s="21" t="s">
        <v>311</v>
      </c>
      <c r="H185" s="19" t="s">
        <v>322</v>
      </c>
      <c r="I185" s="19"/>
      <c r="J185" s="21" t="str">
        <f t="shared" si="4"/>
        <v>CupDBDGam184.PQTC.13.03.26</v>
      </c>
      <c r="K185" s="19"/>
      <c r="L185" s="19" t="str">
        <f t="shared" si="5"/>
        <v>184 CupDBDGam184.PQTC.13.03.26 DBD Портрет убийцы</v>
      </c>
      <c r="M185" s="22"/>
      <c r="N185" s="22"/>
      <c r="O185" s="22"/>
      <c r="P185" s="22"/>
      <c r="Q185" s="22"/>
    </row>
    <row r="186" spans="1:17">
      <c r="A186" s="18">
        <v>185</v>
      </c>
      <c r="B186" s="19"/>
      <c r="C186" s="19" t="s">
        <v>40</v>
      </c>
      <c r="D186" s="20" t="s">
        <v>316</v>
      </c>
      <c r="E186" s="19" t="s">
        <v>323</v>
      </c>
      <c r="F186" s="19" t="s">
        <v>13</v>
      </c>
      <c r="G186" s="21" t="s">
        <v>311</v>
      </c>
      <c r="H186" s="19" t="s">
        <v>324</v>
      </c>
      <c r="I186" s="19"/>
      <c r="J186" s="21" t="str">
        <f t="shared" si="4"/>
        <v>CupDBDGam185.PQTC.13.03.26</v>
      </c>
      <c r="K186" s="19"/>
      <c r="L186" s="19" t="str">
        <f t="shared" si="5"/>
        <v>185 CupDBDGam185.PQTC.13.03.26 DBD Призрачное Лицо</v>
      </c>
      <c r="M186" s="22"/>
      <c r="N186" s="22"/>
      <c r="O186" s="22"/>
      <c r="P186" s="22"/>
      <c r="Q186" s="22"/>
    </row>
    <row r="187" spans="1:17">
      <c r="A187" s="18">
        <v>186</v>
      </c>
      <c r="B187" s="19"/>
      <c r="C187" s="19" t="s">
        <v>40</v>
      </c>
      <c r="D187" s="20" t="s">
        <v>316</v>
      </c>
      <c r="E187" s="19" t="s">
        <v>325</v>
      </c>
      <c r="F187" s="19" t="s">
        <v>13</v>
      </c>
      <c r="G187" s="21" t="s">
        <v>311</v>
      </c>
      <c r="H187" s="19" t="s">
        <v>326</v>
      </c>
      <c r="I187" s="19"/>
      <c r="J187" s="21" t="str">
        <f t="shared" si="4"/>
        <v>CupDBDGam186.PQTC.13.03.26</v>
      </c>
      <c r="K187" s="19"/>
      <c r="L187" s="19" t="str">
        <f t="shared" si="5"/>
        <v>186 CupDBDGam186.PQTC.13.03.26 DBD Полное уничтожение</v>
      </c>
      <c r="M187" s="22"/>
      <c r="N187" s="22"/>
      <c r="O187" s="22"/>
      <c r="P187" s="22"/>
      <c r="Q187" s="22"/>
    </row>
    <row r="188" spans="1:12">
      <c r="A188" s="5">
        <v>187</v>
      </c>
      <c r="C188" s="19" t="s">
        <v>40</v>
      </c>
      <c r="D188" s="20" t="s">
        <v>316</v>
      </c>
      <c r="E188" s="6" t="str">
        <f t="shared" ref="E188:E251" si="6">A188&amp;"."</f>
        <v>187.</v>
      </c>
      <c r="F188" s="19" t="s">
        <v>13</v>
      </c>
      <c r="G188" s="21" t="s">
        <v>327</v>
      </c>
      <c r="H188" s="19" t="s">
        <v>328</v>
      </c>
      <c r="J188" s="21" t="str">
        <f t="shared" si="4"/>
        <v>CupDBDGam187.PQTC.14.03.26</v>
      </c>
      <c r="L188" s="19" t="str">
        <f t="shared" si="5"/>
        <v>187 CupDBDGam187.PQTC.14.03.26 DBD Очень странные дела</v>
      </c>
    </row>
    <row r="189" spans="1:12">
      <c r="A189" s="5">
        <v>188</v>
      </c>
      <c r="C189" s="19" t="s">
        <v>40</v>
      </c>
      <c r="D189" s="20" t="s">
        <v>316</v>
      </c>
      <c r="E189" s="6" t="str">
        <f t="shared" si="6"/>
        <v>188.</v>
      </c>
      <c r="F189" s="19" t="s">
        <v>13</v>
      </c>
      <c r="G189" s="21" t="s">
        <v>327</v>
      </c>
      <c r="H189" s="19" t="s">
        <v>329</v>
      </c>
      <c r="J189" s="21" t="str">
        <f t="shared" si="4"/>
        <v>CupDBDGam188.PQTC.14.03.26</v>
      </c>
      <c r="L189" s="19" t="str">
        <f t="shared" si="5"/>
        <v>188 CupDBDGam188.PQTC.14.03.26 DBD Зловещая благодать</v>
      </c>
    </row>
    <row r="190" spans="1:12">
      <c r="A190" s="5">
        <v>189</v>
      </c>
      <c r="C190" s="19" t="s">
        <v>40</v>
      </c>
      <c r="D190" s="20" t="s">
        <v>316</v>
      </c>
      <c r="E190" s="6" t="str">
        <f t="shared" si="6"/>
        <v>189.</v>
      </c>
      <c r="F190" s="19" t="s">
        <v>13</v>
      </c>
      <c r="G190" s="21" t="s">
        <v>327</v>
      </c>
      <c r="H190" s="19" t="s">
        <v>330</v>
      </c>
      <c r="J190" s="21" t="str">
        <f t="shared" si="4"/>
        <v>CupDBDGam189.PQTC.14.03.26</v>
      </c>
      <c r="L190" s="19" t="str">
        <f t="shared" si="5"/>
        <v>189 CupDBDGam189.PQTC.14.03.26 DBD Пять ночей с Фредди</v>
      </c>
    </row>
    <row r="191" spans="1:12">
      <c r="A191" s="5">
        <v>190</v>
      </c>
      <c r="C191" s="19" t="s">
        <v>40</v>
      </c>
      <c r="D191" s="20" t="s">
        <v>316</v>
      </c>
      <c r="E191" s="6" t="str">
        <f t="shared" si="6"/>
        <v>190.</v>
      </c>
      <c r="F191" s="19" t="s">
        <v>13</v>
      </c>
      <c r="G191" s="21" t="s">
        <v>327</v>
      </c>
      <c r="H191" s="19" t="s">
        <v>331</v>
      </c>
      <c r="J191" s="21" t="str">
        <f t="shared" si="4"/>
        <v>CupDBDGam190.PQTC.14.03.26</v>
      </c>
      <c r="L191" s="19" t="str">
        <f t="shared" si="5"/>
        <v>190 CupDBDGam190.PQTC.14.03.26 DBD Токийский гуль</v>
      </c>
    </row>
    <row r="192" spans="1:12">
      <c r="A192" s="5">
        <v>191</v>
      </c>
      <c r="C192" s="19" t="s">
        <v>40</v>
      </c>
      <c r="D192" s="20" t="s">
        <v>316</v>
      </c>
      <c r="E192" s="6" t="str">
        <f t="shared" si="6"/>
        <v>191.</v>
      </c>
      <c r="F192" s="19" t="s">
        <v>13</v>
      </c>
      <c r="G192" s="21" t="s">
        <v>327</v>
      </c>
      <c r="H192" s="19" t="s">
        <v>332</v>
      </c>
      <c r="J192" s="21" t="str">
        <f t="shared" si="4"/>
        <v>CupDBDGam191.PQTC.14.03.26</v>
      </c>
      <c r="L192" s="19" t="str">
        <f t="shared" si="5"/>
        <v>191 CupDBDGam191.PQTC.14.03.26 DBD Обреченный курс</v>
      </c>
    </row>
    <row r="193" spans="1:12">
      <c r="A193" s="5">
        <v>192</v>
      </c>
      <c r="C193" s="19" t="s">
        <v>40</v>
      </c>
      <c r="D193" s="20" t="s">
        <v>316</v>
      </c>
      <c r="E193" s="6" t="str">
        <f t="shared" si="6"/>
        <v>192.</v>
      </c>
      <c r="F193" s="19" t="s">
        <v>13</v>
      </c>
      <c r="G193" s="21" t="s">
        <v>327</v>
      </c>
      <c r="H193" s="19" t="s">
        <v>333</v>
      </c>
      <c r="J193" s="21" t="str">
        <f t="shared" si="4"/>
        <v>CupDBDGam192.PQTC.14.03.26</v>
      </c>
      <c r="L193" s="19" t="str">
        <f t="shared" si="5"/>
        <v>192 CupDBDGam192.PQTC.14.03.26 DBD Подземелья и драконы</v>
      </c>
    </row>
    <row r="194" spans="1:12">
      <c r="A194" s="5">
        <v>193</v>
      </c>
      <c r="C194" s="19" t="s">
        <v>40</v>
      </c>
      <c r="D194" s="20" t="s">
        <v>316</v>
      </c>
      <c r="E194" s="6" t="str">
        <f t="shared" si="6"/>
        <v>193.</v>
      </c>
      <c r="F194" s="19" t="s">
        <v>13</v>
      </c>
      <c r="G194" s="21" t="s">
        <v>327</v>
      </c>
      <c r="H194" s="19" t="s">
        <v>334</v>
      </c>
      <c r="J194" s="21" t="str">
        <f t="shared" ref="J194:J254" si="7">C194&amp;D194&amp;E194&amp;F194&amp;G194</f>
        <v>CupDBDGam193.PQTC.14.03.26</v>
      </c>
      <c r="L194" s="19" t="str">
        <f t="shared" ref="L194:L254" si="8">A194&amp;" "&amp;C194&amp;D194&amp;E194&amp;F194&amp;G194&amp;" "&amp;H194</f>
        <v>193 CupDBDGam193.PQTC.14.03.26 DBD Все пороки</v>
      </c>
    </row>
    <row r="195" spans="1:12">
      <c r="A195" s="5">
        <v>194</v>
      </c>
      <c r="C195" s="19" t="s">
        <v>40</v>
      </c>
      <c r="D195" s="20" t="s">
        <v>316</v>
      </c>
      <c r="E195" s="6" t="str">
        <f t="shared" si="6"/>
        <v>194.</v>
      </c>
      <c r="F195" s="19" t="s">
        <v>13</v>
      </c>
      <c r="G195" s="21" t="s">
        <v>327</v>
      </c>
      <c r="H195" s="19" t="s">
        <v>335</v>
      </c>
      <c r="J195" s="21" t="str">
        <f t="shared" si="7"/>
        <v>CupDBDGam194.PQTC.14.03.26</v>
      </c>
      <c r="L195" s="19" t="str">
        <f t="shared" si="8"/>
        <v>194 CupDBDGam194.PQTC.14.03.26 DBD Хороший парень — Чаки</v>
      </c>
    </row>
    <row r="196" spans="1:12">
      <c r="A196" s="5">
        <v>195</v>
      </c>
      <c r="C196" s="19" t="s">
        <v>40</v>
      </c>
      <c r="D196" s="20" t="s">
        <v>316</v>
      </c>
      <c r="E196" s="6" t="str">
        <f t="shared" si="6"/>
        <v>195.</v>
      </c>
      <c r="F196" s="19" t="s">
        <v>13</v>
      </c>
      <c r="G196" s="21" t="s">
        <v>327</v>
      </c>
      <c r="H196" s="19" t="s">
        <v>336</v>
      </c>
      <c r="J196" s="21" t="str">
        <f t="shared" si="7"/>
        <v>CupDBDGam195.PQTC.14.03.26</v>
      </c>
      <c r="L196" s="19" t="str">
        <f t="shared" si="8"/>
        <v>195 CupDBDGam195.PQTC.14.03.26 DBD Чужой</v>
      </c>
    </row>
    <row r="197" spans="1:12">
      <c r="A197" s="5">
        <v>196</v>
      </c>
      <c r="C197" s="19" t="s">
        <v>40</v>
      </c>
      <c r="D197" s="20" t="s">
        <v>316</v>
      </c>
      <c r="E197" s="6" t="str">
        <f t="shared" si="6"/>
        <v>196.</v>
      </c>
      <c r="F197" s="19" t="s">
        <v>13</v>
      </c>
      <c r="G197" s="21" t="s">
        <v>327</v>
      </c>
      <c r="H197" s="19" t="s">
        <v>337</v>
      </c>
      <c r="J197" s="21" t="str">
        <f t="shared" si="7"/>
        <v>CupDBDGam196.PQTC.14.03.26</v>
      </c>
      <c r="L197" s="19" t="str">
        <f t="shared" si="8"/>
        <v>196 CupDBDGam196.PQTC.14.03.26 DBD Конец передачи</v>
      </c>
    </row>
    <row r="198" spans="1:12">
      <c r="A198" s="5">
        <v>197</v>
      </c>
      <c r="C198" s="19" t="s">
        <v>10</v>
      </c>
      <c r="D198" s="20" t="s">
        <v>338</v>
      </c>
      <c r="E198" s="6" t="str">
        <f t="shared" si="6"/>
        <v>197.</v>
      </c>
      <c r="F198" s="19" t="s">
        <v>13</v>
      </c>
      <c r="G198" s="21" t="s">
        <v>339</v>
      </c>
      <c r="H198" s="6" t="s">
        <v>340</v>
      </c>
      <c r="J198" s="21" t="str">
        <f t="shared" si="7"/>
        <v>NtrAntaly197.PQTC.15.03.26</v>
      </c>
      <c r="L198" s="19" t="str">
        <f t="shared" si="8"/>
        <v>197 NtrAntaly197.PQTC.15.03.26 Анталья аллея парящих зонтиков</v>
      </c>
    </row>
    <row r="199" spans="1:12">
      <c r="A199" s="5">
        <v>198</v>
      </c>
      <c r="C199" s="19" t="s">
        <v>10</v>
      </c>
      <c r="D199" s="20" t="s">
        <v>338</v>
      </c>
      <c r="E199" s="6" t="str">
        <f t="shared" si="6"/>
        <v>198.</v>
      </c>
      <c r="F199" s="19" t="s">
        <v>13</v>
      </c>
      <c r="G199" s="21" t="s">
        <v>339</v>
      </c>
      <c r="H199" s="6" t="s">
        <v>340</v>
      </c>
      <c r="J199" s="21" t="str">
        <f t="shared" si="7"/>
        <v>NtrAntaly198.PQTC.15.03.26</v>
      </c>
      <c r="L199" s="19" t="str">
        <f t="shared" si="8"/>
        <v>198 NtrAntaly198.PQTC.15.03.26 Анталья аллея парящих зонтиков</v>
      </c>
    </row>
    <row r="200" spans="1:12">
      <c r="A200" s="5">
        <v>199</v>
      </c>
      <c r="C200" s="19" t="s">
        <v>10</v>
      </c>
      <c r="D200" s="20" t="s">
        <v>338</v>
      </c>
      <c r="E200" s="6" t="str">
        <f t="shared" si="6"/>
        <v>199.</v>
      </c>
      <c r="F200" s="19" t="s">
        <v>13</v>
      </c>
      <c r="G200" s="21" t="s">
        <v>339</v>
      </c>
      <c r="H200" s="6" t="s">
        <v>340</v>
      </c>
      <c r="J200" s="21" t="str">
        <f t="shared" si="7"/>
        <v>NtrAntaly199.PQTC.15.03.26</v>
      </c>
      <c r="L200" s="19" t="str">
        <f t="shared" si="8"/>
        <v>199 NtrAntaly199.PQTC.15.03.26 Анталья аллея парящих зонтиков</v>
      </c>
    </row>
    <row r="201" spans="1:12">
      <c r="A201" s="5">
        <v>200</v>
      </c>
      <c r="C201" s="19" t="s">
        <v>10</v>
      </c>
      <c r="D201" s="20" t="s">
        <v>338</v>
      </c>
      <c r="E201" s="6" t="str">
        <f t="shared" si="6"/>
        <v>200.</v>
      </c>
      <c r="F201" s="19" t="s">
        <v>13</v>
      </c>
      <c r="G201" s="21" t="s">
        <v>339</v>
      </c>
      <c r="H201" s="6" t="s">
        <v>341</v>
      </c>
      <c r="J201" s="21" t="str">
        <f t="shared" si="7"/>
        <v>NtrAntaly200.PQTC.15.03.26</v>
      </c>
      <c r="L201" s="19" t="str">
        <f t="shared" si="8"/>
        <v>200 NtrAntaly200.PQTC.15.03.26 Анталья дюденские водопады</v>
      </c>
    </row>
    <row r="202" spans="1:12">
      <c r="A202" s="5">
        <v>201</v>
      </c>
      <c r="C202" s="19" t="s">
        <v>10</v>
      </c>
      <c r="D202" s="20" t="s">
        <v>338</v>
      </c>
      <c r="E202" s="6" t="str">
        <f t="shared" si="6"/>
        <v>201.</v>
      </c>
      <c r="F202" s="19" t="s">
        <v>13</v>
      </c>
      <c r="G202" s="21" t="s">
        <v>339</v>
      </c>
      <c r="H202" s="6" t="s">
        <v>341</v>
      </c>
      <c r="J202" s="21" t="str">
        <f t="shared" si="7"/>
        <v>NtrAntaly201.PQTC.15.03.26</v>
      </c>
      <c r="L202" s="19" t="str">
        <f t="shared" si="8"/>
        <v>201 NtrAntaly201.PQTC.15.03.26 Анталья дюденские водопады</v>
      </c>
    </row>
    <row r="203" spans="1:12">
      <c r="A203" s="5">
        <v>202</v>
      </c>
      <c r="C203" s="19" t="s">
        <v>10</v>
      </c>
      <c r="D203" s="20" t="s">
        <v>338</v>
      </c>
      <c r="E203" s="6" t="str">
        <f t="shared" si="6"/>
        <v>202.</v>
      </c>
      <c r="F203" s="19" t="s">
        <v>13</v>
      </c>
      <c r="G203" s="21" t="s">
        <v>339</v>
      </c>
      <c r="H203" s="6" t="s">
        <v>341</v>
      </c>
      <c r="J203" s="21" t="str">
        <f t="shared" si="7"/>
        <v>NtrAntaly202.PQTC.15.03.26</v>
      </c>
      <c r="L203" s="19" t="str">
        <f t="shared" si="8"/>
        <v>202 NtrAntaly202.PQTC.15.03.26 Анталья дюденские водопады</v>
      </c>
    </row>
    <row r="204" spans="1:12">
      <c r="A204" s="5">
        <v>203</v>
      </c>
      <c r="C204" s="19" t="s">
        <v>10</v>
      </c>
      <c r="D204" s="20" t="s">
        <v>338</v>
      </c>
      <c r="E204" s="6" t="str">
        <f t="shared" si="6"/>
        <v>203.</v>
      </c>
      <c r="F204" s="19" t="s">
        <v>13</v>
      </c>
      <c r="G204" s="21" t="s">
        <v>339</v>
      </c>
      <c r="H204" s="6" t="s">
        <v>341</v>
      </c>
      <c r="J204" s="21" t="str">
        <f t="shared" si="7"/>
        <v>NtrAntaly203.PQTC.15.03.26</v>
      </c>
      <c r="L204" s="19" t="str">
        <f t="shared" si="8"/>
        <v>203 NtrAntaly203.PQTC.15.03.26 Анталья дюденские водопады</v>
      </c>
    </row>
    <row r="205" spans="1:12">
      <c r="A205" s="5">
        <v>204</v>
      </c>
      <c r="C205" s="19" t="s">
        <v>10</v>
      </c>
      <c r="D205" s="20" t="s">
        <v>338</v>
      </c>
      <c r="E205" s="6" t="str">
        <f t="shared" si="6"/>
        <v>204.</v>
      </c>
      <c r="F205" s="19" t="s">
        <v>13</v>
      </c>
      <c r="G205" s="21" t="s">
        <v>339</v>
      </c>
      <c r="H205" s="6" t="s">
        <v>341</v>
      </c>
      <c r="J205" s="21" t="str">
        <f t="shared" si="7"/>
        <v>NtrAntaly204.PQTC.15.03.26</v>
      </c>
      <c r="L205" s="19" t="str">
        <f t="shared" si="8"/>
        <v>204 NtrAntaly204.PQTC.15.03.26 Анталья дюденские водопады</v>
      </c>
    </row>
    <row r="206" spans="1:12">
      <c r="A206" s="5">
        <v>205</v>
      </c>
      <c r="C206" s="19" t="s">
        <v>10</v>
      </c>
      <c r="D206" s="20" t="s">
        <v>338</v>
      </c>
      <c r="E206" s="6" t="str">
        <f t="shared" si="6"/>
        <v>205.</v>
      </c>
      <c r="F206" s="19" t="s">
        <v>13</v>
      </c>
      <c r="G206" s="21" t="s">
        <v>339</v>
      </c>
      <c r="H206" s="6" t="s">
        <v>341</v>
      </c>
      <c r="J206" s="21" t="str">
        <f t="shared" si="7"/>
        <v>NtrAntaly205.PQTC.15.03.26</v>
      </c>
      <c r="L206" s="19" t="str">
        <f t="shared" si="8"/>
        <v>205 NtrAntaly205.PQTC.15.03.26 Анталья дюденские водопады</v>
      </c>
    </row>
    <row r="207" spans="1:12">
      <c r="A207" s="5">
        <v>206</v>
      </c>
      <c r="C207" s="19" t="s">
        <v>10</v>
      </c>
      <c r="D207" s="20" t="s">
        <v>338</v>
      </c>
      <c r="E207" s="6" t="str">
        <f t="shared" si="6"/>
        <v>206.</v>
      </c>
      <c r="F207" s="19" t="s">
        <v>13</v>
      </c>
      <c r="G207" s="21" t="s">
        <v>339</v>
      </c>
      <c r="H207" s="6" t="s">
        <v>341</v>
      </c>
      <c r="J207" s="21" t="str">
        <f t="shared" si="7"/>
        <v>NtrAntaly206.PQTC.15.03.26</v>
      </c>
      <c r="L207" s="19" t="str">
        <f t="shared" si="8"/>
        <v>206 NtrAntaly206.PQTC.15.03.26 Анталья дюденские водопады</v>
      </c>
    </row>
    <row r="208" spans="1:12">
      <c r="A208" s="5">
        <v>207</v>
      </c>
      <c r="C208" s="19" t="s">
        <v>10</v>
      </c>
      <c r="D208" s="20" t="s">
        <v>338</v>
      </c>
      <c r="E208" s="6" t="str">
        <f t="shared" si="6"/>
        <v>207.</v>
      </c>
      <c r="F208" s="19" t="s">
        <v>13</v>
      </c>
      <c r="G208" s="21" t="s">
        <v>339</v>
      </c>
      <c r="H208" s="6" t="s">
        <v>341</v>
      </c>
      <c r="J208" s="21" t="str">
        <f t="shared" si="7"/>
        <v>NtrAntaly207.PQTC.15.03.26</v>
      </c>
      <c r="L208" s="19" t="str">
        <f t="shared" si="8"/>
        <v>207 NtrAntaly207.PQTC.15.03.26 Анталья дюденские водопады</v>
      </c>
    </row>
    <row r="209" spans="1:12">
      <c r="A209" s="5">
        <v>208</v>
      </c>
      <c r="C209" s="19" t="s">
        <v>10</v>
      </c>
      <c r="D209" s="20" t="s">
        <v>338</v>
      </c>
      <c r="E209" s="6" t="str">
        <f t="shared" si="6"/>
        <v>208.</v>
      </c>
      <c r="F209" s="19" t="s">
        <v>13</v>
      </c>
      <c r="G209" s="21" t="s">
        <v>339</v>
      </c>
      <c r="H209" s="6" t="s">
        <v>341</v>
      </c>
      <c r="J209" s="21" t="str">
        <f t="shared" si="7"/>
        <v>NtrAntaly208.PQTC.15.03.26</v>
      </c>
      <c r="L209" s="19" t="str">
        <f t="shared" si="8"/>
        <v>208 NtrAntaly208.PQTC.15.03.26 Анталья дюденские водопады</v>
      </c>
    </row>
    <row r="210" spans="1:12">
      <c r="A210" s="5">
        <v>209</v>
      </c>
      <c r="C210" s="19" t="s">
        <v>10</v>
      </c>
      <c r="D210" s="20" t="s">
        <v>338</v>
      </c>
      <c r="E210" s="6" t="str">
        <f t="shared" si="6"/>
        <v>209.</v>
      </c>
      <c r="F210" s="19" t="s">
        <v>13</v>
      </c>
      <c r="G210" s="21" t="s">
        <v>339</v>
      </c>
      <c r="H210" s="6" t="s">
        <v>341</v>
      </c>
      <c r="J210" s="21" t="str">
        <f t="shared" si="7"/>
        <v>NtrAntaly209.PQTC.15.03.26</v>
      </c>
      <c r="L210" s="19" t="str">
        <f t="shared" si="8"/>
        <v>209 NtrAntaly209.PQTC.15.03.26 Анталья дюденские водопады</v>
      </c>
    </row>
    <row r="211" spans="1:12">
      <c r="A211" s="5">
        <v>210</v>
      </c>
      <c r="C211" s="19" t="s">
        <v>10</v>
      </c>
      <c r="D211" s="20" t="s">
        <v>338</v>
      </c>
      <c r="E211" s="6" t="str">
        <f t="shared" si="6"/>
        <v>210.</v>
      </c>
      <c r="F211" s="19" t="s">
        <v>13</v>
      </c>
      <c r="G211" s="21" t="s">
        <v>339</v>
      </c>
      <c r="H211" s="6" t="s">
        <v>340</v>
      </c>
      <c r="J211" s="21" t="str">
        <f t="shared" si="7"/>
        <v>NtrAntaly210.PQTC.15.03.26</v>
      </c>
      <c r="L211" s="19" t="str">
        <f t="shared" si="8"/>
        <v>210 NtrAntaly210.PQTC.15.03.26 Анталья аллея парящих зонтиков</v>
      </c>
    </row>
    <row r="212" spans="1:12">
      <c r="A212" s="5">
        <v>211</v>
      </c>
      <c r="C212" s="19" t="s">
        <v>10</v>
      </c>
      <c r="D212" s="20" t="s">
        <v>338</v>
      </c>
      <c r="E212" s="6" t="str">
        <f t="shared" si="6"/>
        <v>211.</v>
      </c>
      <c r="F212" s="19" t="s">
        <v>13</v>
      </c>
      <c r="G212" s="8" t="s">
        <v>342</v>
      </c>
      <c r="H212" s="6" t="s">
        <v>343</v>
      </c>
      <c r="J212" s="21" t="str">
        <f t="shared" si="7"/>
        <v>NtrAntaly211.PQTC.16.03.26</v>
      </c>
      <c r="L212" s="19" t="str">
        <f t="shared" si="8"/>
        <v>211 NtrAntaly211.PQTC.16.03.26 Анталья озеро Салда</v>
      </c>
    </row>
    <row r="213" spans="1:12">
      <c r="A213" s="5">
        <v>212</v>
      </c>
      <c r="C213" s="19" t="s">
        <v>10</v>
      </c>
      <c r="D213" s="20" t="s">
        <v>338</v>
      </c>
      <c r="E213" s="6" t="str">
        <f t="shared" si="6"/>
        <v>212.</v>
      </c>
      <c r="F213" s="19" t="s">
        <v>13</v>
      </c>
      <c r="G213" s="8" t="s">
        <v>342</v>
      </c>
      <c r="H213" s="6" t="s">
        <v>343</v>
      </c>
      <c r="J213" s="21" t="str">
        <f t="shared" si="7"/>
        <v>NtrAntaly212.PQTC.16.03.26</v>
      </c>
      <c r="L213" s="19" t="str">
        <f t="shared" si="8"/>
        <v>212 NtrAntaly212.PQTC.16.03.26 Анталья озеро Салда</v>
      </c>
    </row>
    <row r="214" spans="1:12">
      <c r="A214" s="5">
        <v>213</v>
      </c>
      <c r="C214" s="19" t="s">
        <v>10</v>
      </c>
      <c r="D214" s="20" t="s">
        <v>338</v>
      </c>
      <c r="E214" s="6" t="str">
        <f t="shared" si="6"/>
        <v>213.</v>
      </c>
      <c r="F214" s="19" t="s">
        <v>13</v>
      </c>
      <c r="G214" s="8" t="s">
        <v>342</v>
      </c>
      <c r="H214" s="6" t="s">
        <v>343</v>
      </c>
      <c r="J214" s="21" t="str">
        <f t="shared" si="7"/>
        <v>NtrAntaly213.PQTC.16.03.26</v>
      </c>
      <c r="L214" s="19" t="str">
        <f t="shared" si="8"/>
        <v>213 NtrAntaly213.PQTC.16.03.26 Анталья озеро Салда</v>
      </c>
    </row>
    <row r="215" spans="1:12">
      <c r="A215" s="5">
        <v>214</v>
      </c>
      <c r="C215" s="19" t="s">
        <v>10</v>
      </c>
      <c r="D215" s="20" t="s">
        <v>338</v>
      </c>
      <c r="E215" s="6" t="str">
        <f t="shared" si="6"/>
        <v>214.</v>
      </c>
      <c r="F215" s="19" t="s">
        <v>13</v>
      </c>
      <c r="G215" s="8" t="s">
        <v>342</v>
      </c>
      <c r="H215" s="6" t="s">
        <v>343</v>
      </c>
      <c r="J215" s="21" t="str">
        <f t="shared" si="7"/>
        <v>NtrAntaly214.PQTC.16.03.26</v>
      </c>
      <c r="L215" s="19" t="str">
        <f t="shared" si="8"/>
        <v>214 NtrAntaly214.PQTC.16.03.26 Анталья озеро Салда</v>
      </c>
    </row>
    <row r="216" spans="1:12">
      <c r="A216" s="5">
        <v>215</v>
      </c>
      <c r="C216" s="19" t="s">
        <v>10</v>
      </c>
      <c r="D216" s="20" t="s">
        <v>338</v>
      </c>
      <c r="E216" s="6" t="str">
        <f t="shared" si="6"/>
        <v>215.</v>
      </c>
      <c r="F216" s="19" t="s">
        <v>13</v>
      </c>
      <c r="G216" s="8" t="s">
        <v>342</v>
      </c>
      <c r="H216" s="6" t="s">
        <v>343</v>
      </c>
      <c r="J216" s="21" t="str">
        <f t="shared" si="7"/>
        <v>NtrAntaly215.PQTC.16.03.26</v>
      </c>
      <c r="L216" s="19" t="str">
        <f t="shared" si="8"/>
        <v>215 NtrAntaly215.PQTC.16.03.26 Анталья озеро Салда</v>
      </c>
    </row>
    <row r="217" spans="1:12">
      <c r="A217" s="5">
        <v>216</v>
      </c>
      <c r="C217" s="19" t="s">
        <v>10</v>
      </c>
      <c r="D217" s="20" t="s">
        <v>338</v>
      </c>
      <c r="E217" s="6" t="str">
        <f t="shared" si="6"/>
        <v>216.</v>
      </c>
      <c r="F217" s="19" t="s">
        <v>13</v>
      </c>
      <c r="G217" s="8" t="s">
        <v>342</v>
      </c>
      <c r="H217" s="6" t="s">
        <v>343</v>
      </c>
      <c r="J217" s="21" t="str">
        <f t="shared" si="7"/>
        <v>NtrAntaly216.PQTC.16.03.26</v>
      </c>
      <c r="L217" s="19" t="str">
        <f t="shared" si="8"/>
        <v>216 NtrAntaly216.PQTC.16.03.26 Анталья озеро Салда</v>
      </c>
    </row>
    <row r="218" spans="1:12">
      <c r="A218" s="5">
        <v>217</v>
      </c>
      <c r="C218" s="19" t="s">
        <v>10</v>
      </c>
      <c r="D218" s="20" t="s">
        <v>338</v>
      </c>
      <c r="E218" s="6" t="str">
        <f t="shared" si="6"/>
        <v>217.</v>
      </c>
      <c r="F218" s="19" t="s">
        <v>13</v>
      </c>
      <c r="G218" s="8" t="s">
        <v>342</v>
      </c>
      <c r="H218" s="6" t="s">
        <v>343</v>
      </c>
      <c r="J218" s="21" t="str">
        <f t="shared" si="7"/>
        <v>NtrAntaly217.PQTC.16.03.26</v>
      </c>
      <c r="L218" s="19" t="str">
        <f t="shared" si="8"/>
        <v>217 NtrAntaly217.PQTC.16.03.26 Анталья озеро Салда</v>
      </c>
    </row>
    <row r="219" spans="1:12">
      <c r="A219" s="5">
        <v>218</v>
      </c>
      <c r="C219" s="19" t="s">
        <v>10</v>
      </c>
      <c r="D219" s="20" t="s">
        <v>338</v>
      </c>
      <c r="E219" s="6" t="str">
        <f t="shared" si="6"/>
        <v>218.</v>
      </c>
      <c r="F219" s="19" t="s">
        <v>13</v>
      </c>
      <c r="G219" s="8" t="s">
        <v>342</v>
      </c>
      <c r="H219" s="6" t="s">
        <v>344</v>
      </c>
      <c r="J219" s="21" t="str">
        <f t="shared" si="7"/>
        <v>NtrAntaly218.PQTC.16.03.26</v>
      </c>
      <c r="L219" s="19" t="str">
        <f t="shared" si="8"/>
        <v>218 NtrAntaly218.PQTC.16.03.26 Анталья античный город Кибира</v>
      </c>
    </row>
    <row r="220" spans="1:12">
      <c r="A220" s="5">
        <v>219</v>
      </c>
      <c r="C220" s="19" t="s">
        <v>10</v>
      </c>
      <c r="D220" s="20" t="s">
        <v>338</v>
      </c>
      <c r="E220" s="6" t="str">
        <f t="shared" si="6"/>
        <v>219.</v>
      </c>
      <c r="F220" s="19" t="s">
        <v>13</v>
      </c>
      <c r="G220" s="8" t="s">
        <v>342</v>
      </c>
      <c r="H220" s="6" t="s">
        <v>345</v>
      </c>
      <c r="J220" s="21" t="str">
        <f t="shared" si="7"/>
        <v>NtrAntaly219.PQTC.16.03.26</v>
      </c>
      <c r="L220" s="19" t="str">
        <f t="shared" si="8"/>
        <v>219 NtrAntaly219.PQTC.16.03.26 Анталья минарет Кесик</v>
      </c>
    </row>
    <row r="221" spans="1:12">
      <c r="A221" s="5">
        <v>220</v>
      </c>
      <c r="C221" s="19" t="s">
        <v>10</v>
      </c>
      <c r="D221" s="20" t="s">
        <v>338</v>
      </c>
      <c r="E221" s="6" t="str">
        <f t="shared" si="6"/>
        <v>220.</v>
      </c>
      <c r="F221" s="19" t="s">
        <v>13</v>
      </c>
      <c r="G221" s="8" t="s">
        <v>342</v>
      </c>
      <c r="H221" s="6" t="s">
        <v>346</v>
      </c>
      <c r="J221" s="21" t="str">
        <f t="shared" si="7"/>
        <v>NtrAntaly220.PQTC.16.03.26</v>
      </c>
      <c r="L221" s="19" t="str">
        <f t="shared" si="8"/>
        <v>220 NtrAntaly220.PQTC.16.03.26 Анталья древний город Андриаке</v>
      </c>
    </row>
    <row r="222" spans="1:12">
      <c r="A222" s="5">
        <v>221</v>
      </c>
      <c r="C222" s="19" t="s">
        <v>10</v>
      </c>
      <c r="D222" s="20" t="s">
        <v>338</v>
      </c>
      <c r="E222" s="6" t="str">
        <f t="shared" si="6"/>
        <v>221.</v>
      </c>
      <c r="F222" s="19" t="s">
        <v>13</v>
      </c>
      <c r="G222" s="8" t="s">
        <v>342</v>
      </c>
      <c r="H222" s="6" t="s">
        <v>347</v>
      </c>
      <c r="J222" s="21" t="str">
        <f t="shared" si="7"/>
        <v>NtrAntaly221.PQTC.16.03.26</v>
      </c>
      <c r="L222" s="19" t="str">
        <f t="shared" si="8"/>
        <v>221 NtrAntaly221.PQTC.16.03.26 Анталья руины Перге</v>
      </c>
    </row>
    <row r="223" spans="1:12">
      <c r="A223" s="5">
        <v>222</v>
      </c>
      <c r="C223" s="19" t="s">
        <v>10</v>
      </c>
      <c r="D223" s="20" t="s">
        <v>338</v>
      </c>
      <c r="E223" s="6" t="str">
        <f t="shared" si="6"/>
        <v>222.</v>
      </c>
      <c r="F223" s="19" t="s">
        <v>13</v>
      </c>
      <c r="G223" s="8" t="s">
        <v>348</v>
      </c>
      <c r="H223" s="6" t="s">
        <v>349</v>
      </c>
      <c r="J223" s="21" t="str">
        <f t="shared" si="7"/>
        <v>NtrAntaly222.PQTC.17.03.26</v>
      </c>
      <c r="L223" s="19" t="str">
        <f t="shared" si="8"/>
        <v>222 NtrAntaly222.PQTC.17.03.26 Анталья ворота Адриана</v>
      </c>
    </row>
    <row r="224" spans="1:12">
      <c r="A224" s="5">
        <v>223</v>
      </c>
      <c r="C224" s="19" t="s">
        <v>10</v>
      </c>
      <c r="D224" s="20" t="s">
        <v>338</v>
      </c>
      <c r="E224" s="6" t="str">
        <f t="shared" si="6"/>
        <v>223.</v>
      </c>
      <c r="F224" s="19" t="s">
        <v>13</v>
      </c>
      <c r="G224" s="8" t="s">
        <v>348</v>
      </c>
      <c r="H224" s="6" t="s">
        <v>349</v>
      </c>
      <c r="J224" s="21" t="str">
        <f t="shared" si="7"/>
        <v>NtrAntaly223.PQTC.17.03.26</v>
      </c>
      <c r="L224" s="19" t="str">
        <f t="shared" si="8"/>
        <v>223 NtrAntaly223.PQTC.17.03.26 Анталья ворота Адриана</v>
      </c>
    </row>
    <row r="225" spans="1:12">
      <c r="A225" s="5">
        <v>224</v>
      </c>
      <c r="C225" s="19" t="s">
        <v>10</v>
      </c>
      <c r="D225" s="20" t="s">
        <v>338</v>
      </c>
      <c r="E225" s="6" t="str">
        <f t="shared" si="6"/>
        <v>224.</v>
      </c>
      <c r="F225" s="19" t="s">
        <v>13</v>
      </c>
      <c r="G225" s="8" t="s">
        <v>348</v>
      </c>
      <c r="H225" s="6" t="s">
        <v>349</v>
      </c>
      <c r="J225" s="21" t="str">
        <f t="shared" si="7"/>
        <v>NtrAntaly224.PQTC.17.03.26</v>
      </c>
      <c r="L225" s="19" t="str">
        <f t="shared" si="8"/>
        <v>224 NtrAntaly224.PQTC.17.03.26 Анталья ворота Адриана</v>
      </c>
    </row>
    <row r="226" spans="1:12">
      <c r="A226" s="5">
        <v>225</v>
      </c>
      <c r="C226" s="19" t="s">
        <v>10</v>
      </c>
      <c r="D226" s="20" t="s">
        <v>338</v>
      </c>
      <c r="E226" s="6" t="str">
        <f t="shared" si="6"/>
        <v>225.</v>
      </c>
      <c r="F226" s="19" t="s">
        <v>13</v>
      </c>
      <c r="G226" s="8" t="s">
        <v>348</v>
      </c>
      <c r="H226" s="6" t="s">
        <v>350</v>
      </c>
      <c r="J226" s="21" t="str">
        <f t="shared" si="7"/>
        <v>NtrAntaly225.PQTC.17.03.26</v>
      </c>
      <c r="L226" s="19" t="str">
        <f t="shared" si="8"/>
        <v>225 NtrAntaly225.PQTC.17.03.26 Анталья башня Хыдырлык</v>
      </c>
    </row>
    <row r="227" spans="1:12">
      <c r="A227" s="5">
        <v>226</v>
      </c>
      <c r="C227" s="19" t="s">
        <v>10</v>
      </c>
      <c r="D227" s="20" t="s">
        <v>338</v>
      </c>
      <c r="E227" s="6" t="str">
        <f t="shared" si="6"/>
        <v>226.</v>
      </c>
      <c r="F227" s="19" t="s">
        <v>13</v>
      </c>
      <c r="G227" s="8" t="s">
        <v>348</v>
      </c>
      <c r="H227" s="6" t="s">
        <v>350</v>
      </c>
      <c r="J227" s="21" t="str">
        <f t="shared" si="7"/>
        <v>NtrAntaly226.PQTC.17.03.26</v>
      </c>
      <c r="L227" s="19" t="str">
        <f t="shared" si="8"/>
        <v>226 NtrAntaly226.PQTC.17.03.26 Анталья башня Хыдырлык</v>
      </c>
    </row>
    <row r="228" spans="1:12">
      <c r="A228" s="5">
        <v>227</v>
      </c>
      <c r="C228" s="19" t="s">
        <v>10</v>
      </c>
      <c r="D228" s="20" t="s">
        <v>338</v>
      </c>
      <c r="E228" s="6" t="str">
        <f t="shared" si="6"/>
        <v>227.</v>
      </c>
      <c r="F228" s="19" t="s">
        <v>13</v>
      </c>
      <c r="G228" s="8" t="s">
        <v>348</v>
      </c>
      <c r="H228" s="6" t="s">
        <v>350</v>
      </c>
      <c r="J228" s="21" t="str">
        <f t="shared" si="7"/>
        <v>NtrAntaly227.PQTC.17.03.26</v>
      </c>
      <c r="L228" s="19" t="str">
        <f t="shared" si="8"/>
        <v>227 NtrAntaly227.PQTC.17.03.26 Анталья башня Хыдырлык</v>
      </c>
    </row>
    <row r="229" spans="1:12">
      <c r="A229" s="5">
        <v>228</v>
      </c>
      <c r="C229" s="19" t="s">
        <v>10</v>
      </c>
      <c r="D229" s="20" t="s">
        <v>338</v>
      </c>
      <c r="E229" s="6" t="str">
        <f t="shared" si="6"/>
        <v>228.</v>
      </c>
      <c r="F229" s="19" t="s">
        <v>13</v>
      </c>
      <c r="G229" s="8" t="s">
        <v>348</v>
      </c>
      <c r="H229" s="6" t="s">
        <v>350</v>
      </c>
      <c r="J229" s="21" t="str">
        <f t="shared" si="7"/>
        <v>NtrAntaly228.PQTC.17.03.26</v>
      </c>
      <c r="L229" s="19" t="str">
        <f t="shared" si="8"/>
        <v>228 NtrAntaly228.PQTC.17.03.26 Анталья башня Хыдырлык</v>
      </c>
    </row>
    <row r="230" spans="1:12">
      <c r="A230" s="5">
        <v>229</v>
      </c>
      <c r="C230" s="19" t="s">
        <v>10</v>
      </c>
      <c r="D230" s="20" t="s">
        <v>338</v>
      </c>
      <c r="E230" s="6" t="str">
        <f t="shared" si="6"/>
        <v>229.</v>
      </c>
      <c r="F230" s="19" t="s">
        <v>13</v>
      </c>
      <c r="G230" s="8" t="s">
        <v>348</v>
      </c>
      <c r="H230" s="6" t="s">
        <v>350</v>
      </c>
      <c r="J230" s="21" t="str">
        <f t="shared" si="7"/>
        <v>NtrAntaly229.PQTC.17.03.26</v>
      </c>
      <c r="L230" s="19" t="str">
        <f t="shared" si="8"/>
        <v>229 NtrAntaly229.PQTC.17.03.26 Анталья башня Хыдырлык</v>
      </c>
    </row>
    <row r="231" spans="1:12">
      <c r="A231" s="5">
        <v>230</v>
      </c>
      <c r="C231" s="19" t="s">
        <v>10</v>
      </c>
      <c r="D231" s="20" t="s">
        <v>338</v>
      </c>
      <c r="E231" s="6" t="str">
        <f t="shared" si="6"/>
        <v>230.</v>
      </c>
      <c r="F231" s="19" t="s">
        <v>13</v>
      </c>
      <c r="G231" s="8" t="s">
        <v>348</v>
      </c>
      <c r="H231" s="6" t="s">
        <v>350</v>
      </c>
      <c r="J231" s="21" t="str">
        <f t="shared" si="7"/>
        <v>NtrAntaly230.PQTC.17.03.26</v>
      </c>
      <c r="L231" s="19" t="str">
        <f t="shared" si="8"/>
        <v>230 NtrAntaly230.PQTC.17.03.26 Анталья башня Хыдырлык</v>
      </c>
    </row>
    <row r="232" spans="1:12">
      <c r="A232" s="5">
        <v>231</v>
      </c>
      <c r="C232" s="19" t="s">
        <v>10</v>
      </c>
      <c r="D232" s="20" t="s">
        <v>338</v>
      </c>
      <c r="E232" s="6" t="str">
        <f t="shared" si="6"/>
        <v>231.</v>
      </c>
      <c r="F232" s="19" t="s">
        <v>13</v>
      </c>
      <c r="G232" s="8" t="s">
        <v>348</v>
      </c>
      <c r="H232" s="6" t="s">
        <v>351</v>
      </c>
      <c r="J232" s="21" t="str">
        <f t="shared" si="7"/>
        <v>NtrAntaly231.PQTC.17.03.26</v>
      </c>
      <c r="L232" s="19" t="str">
        <f t="shared" si="8"/>
        <v>231 NtrAntaly231.PQTC.17.03.26 Анталья порт Калеичи</v>
      </c>
    </row>
    <row r="233" spans="1:12">
      <c r="A233" s="5">
        <v>232</v>
      </c>
      <c r="C233" s="19" t="s">
        <v>10</v>
      </c>
      <c r="D233" s="20" t="s">
        <v>338</v>
      </c>
      <c r="E233" s="6" t="str">
        <f t="shared" si="6"/>
        <v>232.</v>
      </c>
      <c r="F233" s="19" t="s">
        <v>13</v>
      </c>
      <c r="G233" s="8" t="s">
        <v>352</v>
      </c>
      <c r="H233" s="6" t="s">
        <v>351</v>
      </c>
      <c r="J233" s="21" t="str">
        <f t="shared" si="7"/>
        <v>NtrAntaly232.PQTC.18.03.26</v>
      </c>
      <c r="L233" s="19" t="str">
        <f t="shared" si="8"/>
        <v>232 NtrAntaly232.PQTC.18.03.26 Анталья порт Калеичи</v>
      </c>
    </row>
    <row r="234" spans="1:12">
      <c r="A234" s="5">
        <v>233</v>
      </c>
      <c r="C234" s="19" t="s">
        <v>10</v>
      </c>
      <c r="D234" s="20" t="s">
        <v>338</v>
      </c>
      <c r="E234" s="6" t="str">
        <f t="shared" si="6"/>
        <v>233.</v>
      </c>
      <c r="F234" s="19" t="s">
        <v>13</v>
      </c>
      <c r="G234" s="8" t="s">
        <v>352</v>
      </c>
      <c r="H234" s="6" t="s">
        <v>351</v>
      </c>
      <c r="J234" s="21" t="str">
        <f t="shared" si="7"/>
        <v>NtrAntaly233.PQTC.18.03.26</v>
      </c>
      <c r="L234" s="19" t="str">
        <f t="shared" si="8"/>
        <v>233 NtrAntaly233.PQTC.18.03.26 Анталья порт Калеичи</v>
      </c>
    </row>
    <row r="235" spans="1:12">
      <c r="A235" s="5">
        <v>234</v>
      </c>
      <c r="C235" s="19" t="s">
        <v>10</v>
      </c>
      <c r="D235" s="20" t="s">
        <v>338</v>
      </c>
      <c r="E235" s="6" t="str">
        <f t="shared" si="6"/>
        <v>234.</v>
      </c>
      <c r="F235" s="19" t="s">
        <v>13</v>
      </c>
      <c r="G235" s="8" t="s">
        <v>352</v>
      </c>
      <c r="H235" s="6" t="s">
        <v>351</v>
      </c>
      <c r="J235" s="21" t="str">
        <f t="shared" si="7"/>
        <v>NtrAntaly234.PQTC.18.03.26</v>
      </c>
      <c r="L235" s="19" t="str">
        <f t="shared" si="8"/>
        <v>234 NtrAntaly234.PQTC.18.03.26 Анталья порт Калеичи</v>
      </c>
    </row>
    <row r="236" spans="1:12">
      <c r="A236" s="5">
        <v>235</v>
      </c>
      <c r="C236" s="19" t="s">
        <v>10</v>
      </c>
      <c r="D236" s="20" t="s">
        <v>338</v>
      </c>
      <c r="E236" s="6" t="str">
        <f t="shared" si="6"/>
        <v>235.</v>
      </c>
      <c r="F236" s="19" t="s">
        <v>13</v>
      </c>
      <c r="G236" s="8" t="s">
        <v>352</v>
      </c>
      <c r="H236" s="6" t="s">
        <v>351</v>
      </c>
      <c r="J236" s="21" t="str">
        <f t="shared" si="7"/>
        <v>NtrAntaly235.PQTC.18.03.26</v>
      </c>
      <c r="L236" s="19" t="str">
        <f t="shared" si="8"/>
        <v>235 NtrAntaly235.PQTC.18.03.26 Анталья порт Калеичи</v>
      </c>
    </row>
    <row r="237" spans="1:12">
      <c r="A237" s="5">
        <v>236</v>
      </c>
      <c r="C237" s="19" t="s">
        <v>10</v>
      </c>
      <c r="D237" s="20" t="s">
        <v>338</v>
      </c>
      <c r="E237" s="6" t="str">
        <f t="shared" si="6"/>
        <v>236.</v>
      </c>
      <c r="F237" s="19" t="s">
        <v>13</v>
      </c>
      <c r="G237" s="8" t="s">
        <v>352</v>
      </c>
      <c r="H237" s="6" t="s">
        <v>353</v>
      </c>
      <c r="J237" s="21" t="str">
        <f t="shared" si="7"/>
        <v>NtrAntaly236.PQTC.18.03.26</v>
      </c>
      <c r="L237" s="19" t="str">
        <f t="shared" si="8"/>
        <v>236 NtrAntaly236.PQTC.18.03.26 Анталья крепость Аланья</v>
      </c>
    </row>
    <row r="238" spans="1:12">
      <c r="A238" s="5">
        <v>237</v>
      </c>
      <c r="C238" s="19" t="s">
        <v>10</v>
      </c>
      <c r="D238" s="20" t="s">
        <v>338</v>
      </c>
      <c r="E238" s="6" t="str">
        <f t="shared" si="6"/>
        <v>237.</v>
      </c>
      <c r="F238" s="19" t="s">
        <v>13</v>
      </c>
      <c r="G238" s="8" t="s">
        <v>352</v>
      </c>
      <c r="H238" s="6" t="s">
        <v>354</v>
      </c>
      <c r="J238" s="21" t="str">
        <f t="shared" si="7"/>
        <v>NtrAntaly237.PQTC.18.03.26</v>
      </c>
      <c r="L238" s="19" t="str">
        <f t="shared" si="8"/>
        <v>237 NtrAntaly237.PQTC.18.03.26 Анталья Делик-Дениз</v>
      </c>
    </row>
    <row r="239" spans="1:12">
      <c r="A239" s="5">
        <v>238</v>
      </c>
      <c r="C239" s="19" t="s">
        <v>10</v>
      </c>
      <c r="D239" s="20" t="s">
        <v>338</v>
      </c>
      <c r="E239" s="6" t="str">
        <f t="shared" si="6"/>
        <v>238.</v>
      </c>
      <c r="F239" s="19" t="s">
        <v>13</v>
      </c>
      <c r="G239" s="8" t="s">
        <v>352</v>
      </c>
      <c r="H239" s="6" t="s">
        <v>351</v>
      </c>
      <c r="J239" s="21" t="str">
        <f t="shared" si="7"/>
        <v>NtrAntaly238.PQTC.18.03.26</v>
      </c>
      <c r="L239" s="19" t="str">
        <f t="shared" si="8"/>
        <v>238 NtrAntaly238.PQTC.18.03.26 Анталья порт Калеичи</v>
      </c>
    </row>
    <row r="240" spans="1:12">
      <c r="A240" s="5">
        <v>239</v>
      </c>
      <c r="C240" s="19" t="s">
        <v>10</v>
      </c>
      <c r="D240" s="20" t="s">
        <v>338</v>
      </c>
      <c r="E240" s="6" t="str">
        <f t="shared" si="6"/>
        <v>239.</v>
      </c>
      <c r="F240" s="19" t="s">
        <v>13</v>
      </c>
      <c r="G240" s="8" t="s">
        <v>352</v>
      </c>
      <c r="H240" s="6" t="s">
        <v>355</v>
      </c>
      <c r="J240" s="21" t="str">
        <f t="shared" si="7"/>
        <v>NtrAntaly239.PQTC.18.03.26</v>
      </c>
      <c r="L240" s="19" t="str">
        <f t="shared" si="8"/>
        <v>239 NtrAntaly239.PQTC.18.03.26 Анталья </v>
      </c>
    </row>
    <row r="241" spans="1:12">
      <c r="A241" s="5">
        <v>240</v>
      </c>
      <c r="C241" s="19" t="s">
        <v>10</v>
      </c>
      <c r="D241" s="20" t="s">
        <v>338</v>
      </c>
      <c r="E241" s="6" t="str">
        <f t="shared" si="6"/>
        <v>240.</v>
      </c>
      <c r="F241" s="19" t="s">
        <v>13</v>
      </c>
      <c r="G241" s="8" t="s">
        <v>352</v>
      </c>
      <c r="H241" s="6" t="s">
        <v>351</v>
      </c>
      <c r="J241" s="21" t="str">
        <f t="shared" si="7"/>
        <v>NtrAntaly240.PQTC.18.03.26</v>
      </c>
      <c r="L241" s="19" t="str">
        <f t="shared" si="8"/>
        <v>240 NtrAntaly240.PQTC.18.03.26 Анталья порт Калеичи</v>
      </c>
    </row>
    <row r="242" spans="1:12">
      <c r="A242" s="5">
        <v>241</v>
      </c>
      <c r="C242" s="19" t="s">
        <v>10</v>
      </c>
      <c r="D242" s="20" t="s">
        <v>338</v>
      </c>
      <c r="E242" s="6" t="str">
        <f t="shared" si="6"/>
        <v>241.</v>
      </c>
      <c r="F242" s="19" t="s">
        <v>13</v>
      </c>
      <c r="G242" s="8" t="s">
        <v>352</v>
      </c>
      <c r="H242" s="6" t="s">
        <v>351</v>
      </c>
      <c r="J242" s="21" t="str">
        <f t="shared" si="7"/>
        <v>NtrAntaly241.PQTC.18.03.26</v>
      </c>
      <c r="L242" s="19" t="str">
        <f t="shared" si="8"/>
        <v>241 NtrAntaly241.PQTC.18.03.26 Анталья порт Калеичи</v>
      </c>
    </row>
    <row r="243" spans="1:12">
      <c r="A243" s="5">
        <v>242</v>
      </c>
      <c r="C243" s="19" t="s">
        <v>10</v>
      </c>
      <c r="D243" s="20" t="s">
        <v>338</v>
      </c>
      <c r="E243" s="6" t="str">
        <f t="shared" si="6"/>
        <v>242.</v>
      </c>
      <c r="F243" s="19" t="s">
        <v>13</v>
      </c>
      <c r="G243" s="8" t="s">
        <v>352</v>
      </c>
      <c r="H243" s="6" t="s">
        <v>356</v>
      </c>
      <c r="J243" s="21" t="str">
        <f t="shared" si="7"/>
        <v>NtrAntaly242.PQTC.18.03.26</v>
      </c>
      <c r="L243" s="19" t="str">
        <f t="shared" si="8"/>
        <v>242 NtrAntaly242.PQTC.18.03.26 Анталья пейзаж</v>
      </c>
    </row>
    <row r="244" spans="1:12">
      <c r="A244" s="5">
        <v>243</v>
      </c>
      <c r="C244" s="19" t="s">
        <v>10</v>
      </c>
      <c r="D244" s="20" t="s">
        <v>338</v>
      </c>
      <c r="E244" s="6" t="str">
        <f t="shared" si="6"/>
        <v>243.</v>
      </c>
      <c r="F244" s="19" t="s">
        <v>13</v>
      </c>
      <c r="G244" s="8" t="s">
        <v>357</v>
      </c>
      <c r="H244" s="6" t="s">
        <v>358</v>
      </c>
      <c r="J244" s="21" t="str">
        <f t="shared" si="7"/>
        <v>NtrAntaly243.PQTC.20.03.26</v>
      </c>
      <c r="L244" s="19" t="str">
        <f t="shared" si="8"/>
        <v>243 NtrAntaly243.PQTC.20.03.26 Анталья Перге</v>
      </c>
    </row>
    <row r="245" spans="1:12">
      <c r="A245" s="5">
        <v>244</v>
      </c>
      <c r="C245" s="19" t="s">
        <v>10</v>
      </c>
      <c r="D245" s="20" t="s">
        <v>338</v>
      </c>
      <c r="E245" s="6" t="str">
        <f t="shared" si="6"/>
        <v>244.</v>
      </c>
      <c r="F245" s="19" t="s">
        <v>13</v>
      </c>
      <c r="G245" s="8" t="s">
        <v>357</v>
      </c>
      <c r="H245" s="6" t="s">
        <v>359</v>
      </c>
      <c r="J245" s="21" t="str">
        <f t="shared" si="7"/>
        <v>NtrAntaly244.PQTC.20.03.26</v>
      </c>
      <c r="L245" s="19" t="str">
        <f t="shared" si="8"/>
        <v>244 NtrAntaly244.PQTC.20.03.26 Анталья Фаселис</v>
      </c>
    </row>
    <row r="246" spans="1:12">
      <c r="A246" s="5">
        <v>245</v>
      </c>
      <c r="C246" s="19" t="s">
        <v>10</v>
      </c>
      <c r="D246" s="20" t="s">
        <v>338</v>
      </c>
      <c r="E246" s="6" t="str">
        <f t="shared" si="6"/>
        <v>245.</v>
      </c>
      <c r="F246" s="19" t="s">
        <v>13</v>
      </c>
      <c r="G246" s="8" t="s">
        <v>357</v>
      </c>
      <c r="H246" s="6" t="s">
        <v>358</v>
      </c>
      <c r="J246" s="21" t="str">
        <f t="shared" si="7"/>
        <v>NtrAntaly245.PQTC.20.03.26</v>
      </c>
      <c r="L246" s="19" t="str">
        <f t="shared" si="8"/>
        <v>245 NtrAntaly245.PQTC.20.03.26 Анталья Перге</v>
      </c>
    </row>
    <row r="247" spans="1:12">
      <c r="A247" s="5">
        <v>246</v>
      </c>
      <c r="C247" s="19" t="s">
        <v>10</v>
      </c>
      <c r="D247" s="20" t="s">
        <v>338</v>
      </c>
      <c r="E247" s="6" t="str">
        <f t="shared" si="6"/>
        <v>246.</v>
      </c>
      <c r="F247" s="19" t="s">
        <v>13</v>
      </c>
      <c r="G247" s="8" t="s">
        <v>357</v>
      </c>
      <c r="H247" s="6" t="s">
        <v>358</v>
      </c>
      <c r="J247" s="21" t="str">
        <f t="shared" si="7"/>
        <v>NtrAntaly246.PQTC.20.03.26</v>
      </c>
      <c r="L247" s="19" t="str">
        <f t="shared" si="8"/>
        <v>246 NtrAntaly246.PQTC.20.03.26 Анталья Перге</v>
      </c>
    </row>
    <row r="248" spans="1:12">
      <c r="A248" s="5">
        <v>247</v>
      </c>
      <c r="C248" s="19" t="s">
        <v>10</v>
      </c>
      <c r="D248" s="20" t="s">
        <v>338</v>
      </c>
      <c r="E248" s="6" t="str">
        <f t="shared" si="6"/>
        <v>247.</v>
      </c>
      <c r="F248" s="19" t="s">
        <v>13</v>
      </c>
      <c r="G248" s="8" t="s">
        <v>357</v>
      </c>
      <c r="H248" s="6" t="s">
        <v>345</v>
      </c>
      <c r="J248" s="21" t="str">
        <f t="shared" si="7"/>
        <v>NtrAntaly247.PQTC.20.03.26</v>
      </c>
      <c r="L248" s="19" t="str">
        <f t="shared" si="8"/>
        <v>247 NtrAntaly247.PQTC.20.03.26 Анталья минарет Кесик</v>
      </c>
    </row>
    <row r="249" spans="1:12">
      <c r="A249" s="5">
        <v>248</v>
      </c>
      <c r="C249" s="19" t="s">
        <v>10</v>
      </c>
      <c r="D249" s="20" t="s">
        <v>338</v>
      </c>
      <c r="E249" s="6" t="str">
        <f t="shared" si="6"/>
        <v>248.</v>
      </c>
      <c r="F249" s="19" t="s">
        <v>13</v>
      </c>
      <c r="G249" s="8" t="s">
        <v>357</v>
      </c>
      <c r="H249" s="6" t="s">
        <v>345</v>
      </c>
      <c r="J249" s="21" t="str">
        <f t="shared" si="7"/>
        <v>NtrAntaly248.PQTC.20.03.26</v>
      </c>
      <c r="L249" s="19" t="str">
        <f t="shared" si="8"/>
        <v>248 NtrAntaly248.PQTC.20.03.26 Анталья минарет Кесик</v>
      </c>
    </row>
    <row r="250" spans="1:12">
      <c r="A250" s="5">
        <v>249</v>
      </c>
      <c r="C250" s="19" t="s">
        <v>10</v>
      </c>
      <c r="D250" s="20" t="s">
        <v>338</v>
      </c>
      <c r="E250" s="6" t="str">
        <f t="shared" si="6"/>
        <v>249.</v>
      </c>
      <c r="F250" s="19" t="s">
        <v>13</v>
      </c>
      <c r="G250" s="8" t="s">
        <v>357</v>
      </c>
      <c r="H250" s="6" t="s">
        <v>360</v>
      </c>
      <c r="J250" s="21" t="str">
        <f t="shared" si="7"/>
        <v>NtrAntaly249.PQTC.20.03.26</v>
      </c>
      <c r="L250" s="19" t="str">
        <f t="shared" si="8"/>
        <v>249 NtrAntaly249.PQTC.20.03.26 Анталья Аспендос</v>
      </c>
    </row>
    <row r="251" spans="1:12">
      <c r="A251" s="5">
        <v>250</v>
      </c>
      <c r="C251" s="19" t="s">
        <v>10</v>
      </c>
      <c r="D251" s="20" t="s">
        <v>338</v>
      </c>
      <c r="E251" s="6" t="str">
        <f t="shared" si="6"/>
        <v>250.</v>
      </c>
      <c r="F251" s="19" t="s">
        <v>13</v>
      </c>
      <c r="G251" s="8" t="s">
        <v>357</v>
      </c>
      <c r="H251" s="6" t="s">
        <v>361</v>
      </c>
      <c r="J251" s="21" t="str">
        <f t="shared" si="7"/>
        <v>NtrAntaly250.PQTC.20.03.26</v>
      </c>
      <c r="L251" s="19" t="str">
        <f t="shared" si="8"/>
        <v>250 NtrAntaly250.PQTC.20.03.26 Анталья античный театр Сиде</v>
      </c>
    </row>
    <row r="252" spans="1:12">
      <c r="A252" s="5">
        <v>251</v>
      </c>
      <c r="C252" s="19" t="s">
        <v>10</v>
      </c>
      <c r="D252" s="20" t="s">
        <v>338</v>
      </c>
      <c r="E252" s="6" t="str">
        <f>A252&amp;"."</f>
        <v>251.</v>
      </c>
      <c r="F252" s="19" t="s">
        <v>13</v>
      </c>
      <c r="G252" s="8" t="s">
        <v>357</v>
      </c>
      <c r="H252" s="6" t="s">
        <v>359</v>
      </c>
      <c r="J252" s="21" t="str">
        <f t="shared" si="7"/>
        <v>NtrAntaly251.PQTC.20.03.26</v>
      </c>
      <c r="L252" s="19" t="str">
        <f t="shared" si="8"/>
        <v>251 NtrAntaly251.PQTC.20.03.26 Анталья Фаселис</v>
      </c>
    </row>
    <row r="253" spans="1:12">
      <c r="A253" s="5">
        <v>252</v>
      </c>
      <c r="C253" s="19" t="s">
        <v>10</v>
      </c>
      <c r="D253" s="20" t="s">
        <v>338</v>
      </c>
      <c r="E253" s="6" t="str">
        <f>A253&amp;"."</f>
        <v>252.</v>
      </c>
      <c r="F253" s="19" t="s">
        <v>13</v>
      </c>
      <c r="G253" s="8" t="s">
        <v>357</v>
      </c>
      <c r="H253" s="6" t="s">
        <v>358</v>
      </c>
      <c r="J253" s="21" t="str">
        <f t="shared" si="7"/>
        <v>NtrAntaly252.PQTC.20.03.26</v>
      </c>
      <c r="L253" s="19" t="str">
        <f t="shared" si="8"/>
        <v>252 NtrAntaly252.PQTC.20.03.26 Анталья Перге</v>
      </c>
    </row>
    <row r="254" spans="1:12">
      <c r="A254" s="5">
        <v>253</v>
      </c>
      <c r="C254" s="19" t="s">
        <v>10</v>
      </c>
      <c r="D254" s="20" t="s">
        <v>338</v>
      </c>
      <c r="E254" s="6" t="str">
        <f>A254&amp;"."</f>
        <v>253.</v>
      </c>
      <c r="F254" s="19" t="s">
        <v>13</v>
      </c>
      <c r="G254" s="8" t="s">
        <v>357</v>
      </c>
      <c r="H254" s="6" t="s">
        <v>359</v>
      </c>
      <c r="J254" s="21" t="str">
        <f t="shared" si="7"/>
        <v>NtrAntaly253.PQTC.20.03.26</v>
      </c>
      <c r="L254" s="19" t="str">
        <f t="shared" si="8"/>
        <v>253 NtrAntaly253.PQTC.20.03.26 Анталья Фаселис</v>
      </c>
    </row>
    <row r="255" spans="1:12">
      <c r="A255" s="5">
        <v>254</v>
      </c>
      <c r="C255" s="19" t="s">
        <v>10</v>
      </c>
      <c r="D255" s="20" t="s">
        <v>338</v>
      </c>
      <c r="E255" s="6" t="str">
        <f>A255&amp;"."</f>
        <v>254.</v>
      </c>
      <c r="F255" s="19" t="s">
        <v>13</v>
      </c>
      <c r="G255" s="8" t="s">
        <v>362</v>
      </c>
      <c r="H255" s="6" t="s">
        <v>359</v>
      </c>
      <c r="J255" s="21" t="str">
        <f>C255&amp;D255&amp;E255&amp;F255&amp;G255</f>
        <v>NtrAntaly254.PQTC.21.03.26</v>
      </c>
      <c r="L255" s="19" t="str">
        <f>A255&amp;" "&amp;C255&amp;D255&amp;E255&amp;F255&amp;G255&amp;" "&amp;H255</f>
        <v>254 NtrAntaly254.PQTC.21.03.26 Анталья Фаселис</v>
      </c>
    </row>
    <row r="256" spans="1:12">
      <c r="A256" s="5">
        <v>255</v>
      </c>
      <c r="C256" s="19" t="s">
        <v>10</v>
      </c>
      <c r="D256" s="20" t="s">
        <v>338</v>
      </c>
      <c r="E256" s="6" t="str">
        <f>A256&amp;"."</f>
        <v>255.</v>
      </c>
      <c r="F256" s="19" t="s">
        <v>13</v>
      </c>
      <c r="G256" s="8" t="s">
        <v>362</v>
      </c>
      <c r="H256" s="6" t="s">
        <v>358</v>
      </c>
      <c r="J256" s="21" t="str">
        <f>C256&amp;D256&amp;E256&amp;F256&amp;G256</f>
        <v>NtrAntaly255.PQTC.21.03.26</v>
      </c>
      <c r="L256" s="19" t="str">
        <f>A256&amp;" "&amp;C256&amp;D256&amp;E256&amp;F256&amp;G256&amp;" "&amp;H256</f>
        <v>255 NtrAntaly255.PQTC.21.03.26 Анталья Перге</v>
      </c>
    </row>
    <row r="257" spans="1:12">
      <c r="A257" s="5">
        <v>256</v>
      </c>
      <c r="C257" s="19" t="s">
        <v>10</v>
      </c>
      <c r="D257" s="20" t="s">
        <v>338</v>
      </c>
      <c r="E257" s="6" t="str">
        <f>A257&amp;"."</f>
        <v>256.</v>
      </c>
      <c r="F257" s="19" t="s">
        <v>13</v>
      </c>
      <c r="G257" s="8" t="s">
        <v>362</v>
      </c>
      <c r="H257" s="6" t="s">
        <v>358</v>
      </c>
      <c r="J257" s="21" t="str">
        <f>C257&amp;D257&amp;E257&amp;F257&amp;G257</f>
        <v>NtrAntaly256.PQTC.21.03.26</v>
      </c>
      <c r="L257" s="19" t="str">
        <f>A257&amp;" "&amp;C257&amp;D257&amp;E257&amp;F257&amp;G257&amp;" "&amp;H257</f>
        <v>256 NtrAntaly256.PQTC.21.03.26 Анталья Перге</v>
      </c>
    </row>
    <row r="258" spans="1:12">
      <c r="A258" s="5">
        <v>257</v>
      </c>
      <c r="C258" s="19" t="s">
        <v>10</v>
      </c>
      <c r="D258" s="20" t="s">
        <v>338</v>
      </c>
      <c r="E258" s="6" t="str">
        <f>A258&amp;"."</f>
        <v>257.</v>
      </c>
      <c r="F258" s="19" t="s">
        <v>13</v>
      </c>
      <c r="G258" s="8" t="s">
        <v>362</v>
      </c>
      <c r="H258" s="6" t="s">
        <v>363</v>
      </c>
      <c r="J258" s="21" t="str">
        <f>C258&amp;D258&amp;E258&amp;F258&amp;G258</f>
        <v>NtrAntaly257.PQTC.21.03.26</v>
      </c>
      <c r="L258" s="19" t="str">
        <f>A258&amp;" "&amp;C258&amp;D258&amp;E258&amp;F258&amp;G258&amp;" "&amp;H258</f>
        <v>257 NtrAntaly257.PQTC.21.03.26 Анталья храм Аполлона Сиде</v>
      </c>
    </row>
    <row r="259" spans="1:12">
      <c r="A259" s="5">
        <v>258</v>
      </c>
      <c r="C259" s="19" t="s">
        <v>10</v>
      </c>
      <c r="D259" s="20" t="s">
        <v>338</v>
      </c>
      <c r="E259" s="6" t="str">
        <f>A259&amp;"."</f>
        <v>258.</v>
      </c>
      <c r="F259" s="19" t="s">
        <v>13</v>
      </c>
      <c r="G259" s="8" t="s">
        <v>362</v>
      </c>
      <c r="H259" s="6" t="s">
        <v>364</v>
      </c>
      <c r="J259" s="21" t="str">
        <f>C259&amp;D259&amp;E259&amp;F259&amp;G259</f>
        <v>NtrAntaly258.PQTC.21.03.26</v>
      </c>
      <c r="L259" s="19" t="str">
        <f>A259&amp;" "&amp;C259&amp;D259&amp;E259&amp;F259&amp;G259&amp;" "&amp;H259</f>
        <v>258 NtrAntaly258.PQTC.21.03.26 Анталья Сиде</v>
      </c>
    </row>
    <row r="260" spans="1:12">
      <c r="A260" s="5">
        <v>259</v>
      </c>
      <c r="C260" s="19" t="s">
        <v>10</v>
      </c>
      <c r="D260" s="20" t="s">
        <v>338</v>
      </c>
      <c r="E260" s="6" t="str">
        <f>A260&amp;"."</f>
        <v>259.</v>
      </c>
      <c r="F260" s="19" t="s">
        <v>13</v>
      </c>
      <c r="G260" s="8" t="s">
        <v>362</v>
      </c>
      <c r="H260" s="6" t="s">
        <v>358</v>
      </c>
      <c r="J260" s="21" t="str">
        <f>C260&amp;D260&amp;E260&amp;F260&amp;G260</f>
        <v>NtrAntaly259.PQTC.21.03.26</v>
      </c>
      <c r="L260" s="19" t="str">
        <f>A260&amp;" "&amp;C260&amp;D260&amp;E260&amp;F260&amp;G260&amp;" "&amp;H260</f>
        <v>259 NtrAntaly259.PQTC.21.03.26 Анталья Перге</v>
      </c>
    </row>
    <row r="261" spans="1:12">
      <c r="A261" s="5">
        <v>260</v>
      </c>
      <c r="C261" s="19" t="s">
        <v>10</v>
      </c>
      <c r="D261" s="20" t="s">
        <v>338</v>
      </c>
      <c r="E261" s="6" t="str">
        <f>A261&amp;"."</f>
        <v>260.</v>
      </c>
      <c r="F261" s="19" t="s">
        <v>13</v>
      </c>
      <c r="G261" s="8" t="s">
        <v>362</v>
      </c>
      <c r="H261" s="6" t="s">
        <v>360</v>
      </c>
      <c r="J261" s="21" t="str">
        <f>C261&amp;D261&amp;E261&amp;F261&amp;G261</f>
        <v>NtrAntaly260.PQTC.21.03.26</v>
      </c>
      <c r="L261" s="19" t="str">
        <f>A261&amp;" "&amp;C261&amp;D261&amp;E261&amp;F261&amp;G261&amp;" "&amp;H261</f>
        <v>260 NtrAntaly260.PQTC.21.03.26 Анталья Аспендос</v>
      </c>
    </row>
    <row r="262" spans="1:12">
      <c r="A262" s="5">
        <v>261</v>
      </c>
      <c r="C262" s="19" t="s">
        <v>10</v>
      </c>
      <c r="D262" s="20" t="s">
        <v>338</v>
      </c>
      <c r="E262" s="6" t="str">
        <f>A262&amp;"."</f>
        <v>261.</v>
      </c>
      <c r="F262" s="19" t="s">
        <v>13</v>
      </c>
      <c r="G262" s="8" t="s">
        <v>362</v>
      </c>
      <c r="H262" s="6" t="s">
        <v>360</v>
      </c>
      <c r="J262" s="21" t="str">
        <f>C262&amp;D262&amp;E262&amp;F262&amp;G262</f>
        <v>NtrAntaly261.PQTC.21.03.26</v>
      </c>
      <c r="L262" s="19" t="str">
        <f>A262&amp;" "&amp;C262&amp;D262&amp;E262&amp;F262&amp;G262&amp;" "&amp;H262</f>
        <v>261 NtrAntaly261.PQTC.21.03.26 Анталья Аспендос</v>
      </c>
    </row>
    <row r="263" spans="1:12">
      <c r="A263" s="5">
        <v>262</v>
      </c>
      <c r="C263" s="19" t="s">
        <v>10</v>
      </c>
      <c r="D263" s="20" t="s">
        <v>338</v>
      </c>
      <c r="E263" s="6" t="str">
        <f>A263&amp;"."</f>
        <v>262.</v>
      </c>
      <c r="F263" s="19" t="s">
        <v>13</v>
      </c>
      <c r="G263" s="8" t="s">
        <v>362</v>
      </c>
      <c r="H263" s="6" t="s">
        <v>359</v>
      </c>
      <c r="J263" s="21" t="str">
        <f>C263&amp;D263&amp;E263&amp;F263&amp;G263</f>
        <v>NtrAntaly262.PQTC.21.03.26</v>
      </c>
      <c r="L263" s="19" t="str">
        <f>A263&amp;" "&amp;C263&amp;D263&amp;E263&amp;F263&amp;G263&amp;" "&amp;H263</f>
        <v>262 NtrAntaly262.PQTC.21.03.26 Анталья Фаселис</v>
      </c>
    </row>
    <row r="264" spans="1:12">
      <c r="A264" s="5">
        <v>263</v>
      </c>
      <c r="C264" s="19" t="s">
        <v>10</v>
      </c>
      <c r="D264" s="20" t="s">
        <v>338</v>
      </c>
      <c r="E264" s="6" t="str">
        <f>A264&amp;"."</f>
        <v>263.</v>
      </c>
      <c r="F264" s="19" t="s">
        <v>13</v>
      </c>
      <c r="G264" s="8" t="s">
        <v>362</v>
      </c>
      <c r="H264" s="6" t="s">
        <v>364</v>
      </c>
      <c r="J264" s="21" t="str">
        <f>C264&amp;D264&amp;E264&amp;F264&amp;G264</f>
        <v>NtrAntaly263.PQTC.21.03.26</v>
      </c>
      <c r="L264" s="19" t="str">
        <f>A264&amp;" "&amp;C264&amp;D264&amp;E264&amp;F264&amp;G264&amp;" "&amp;H264</f>
        <v>263 NtrAntaly263.PQTC.21.03.26 Анталья Сиде</v>
      </c>
    </row>
  </sheetData>
  <conditionalFormatting sqref="A2:A23">
    <cfRule type="expression" dxfId="0" priority="7">
      <formula>LEN($A2)&lt;&gt;2</formula>
    </cfRule>
  </conditionalFormatting>
  <conditionalFormatting sqref="C2:C11">
    <cfRule type="expression" dxfId="0" priority="6">
      <formula>LEN($C2)&lt;&gt;3</formula>
    </cfRule>
  </conditionalFormatting>
  <conditionalFormatting sqref="D2:D11">
    <cfRule type="expression" dxfId="0" priority="5">
      <formula>LEN($D2)&lt;&gt;6</formula>
    </cfRule>
  </conditionalFormatting>
  <conditionalFormatting sqref="E2:E11">
    <cfRule type="expression" dxfId="0" priority="4">
      <formula>LEN($E2)&lt;&gt;3</formula>
    </cfRule>
  </conditionalFormatting>
  <conditionalFormatting sqref="F2:F17">
    <cfRule type="expression" dxfId="0" priority="3">
      <formula>LEN($F2)&lt;&gt;5</formula>
    </cfRule>
  </conditionalFormatting>
  <conditionalFormatting sqref="F18:F182">
    <cfRule type="expression" dxfId="0" priority="1">
      <formula>LEN($F18)&lt;&gt;5</formula>
    </cfRule>
  </conditionalFormatting>
  <conditionalFormatting sqref="G2:G11">
    <cfRule type="expression" dxfId="0" priority="2">
      <formula>LEN($G2)&lt;&gt;8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topLeftCell="A7" workbookViewId="0">
      <selection activeCell="A27" sqref="A27"/>
    </sheetView>
  </sheetViews>
  <sheetFormatPr defaultColWidth="9.10185185185185" defaultRowHeight="14.4" outlineLevelCol="1"/>
  <cols>
    <col min="1" max="1" width="45.1018518518519" style="1" customWidth="1"/>
    <col min="2" max="2" width="31.8888888888889" style="1" customWidth="1"/>
    <col min="3" max="16384" width="9.10185185185185" style="1"/>
  </cols>
  <sheetData>
    <row r="1" ht="16.35" spans="1:2">
      <c r="A1" s="2" t="s">
        <v>365</v>
      </c>
      <c r="B1" s="2" t="s">
        <v>366</v>
      </c>
    </row>
    <row r="2" ht="16.35" spans="1:2">
      <c r="A2" s="3" t="s">
        <v>367</v>
      </c>
      <c r="B2" s="3" t="s">
        <v>368</v>
      </c>
    </row>
    <row r="3" ht="16.35" spans="1:2">
      <c r="A3" s="4" t="s">
        <v>369</v>
      </c>
      <c r="B3" s="4" t="s">
        <v>370</v>
      </c>
    </row>
    <row r="4" ht="16.35" spans="1:2">
      <c r="A4" s="4" t="s">
        <v>371</v>
      </c>
      <c r="B4" s="4" t="s">
        <v>372</v>
      </c>
    </row>
    <row r="5" ht="31.95" spans="1:2">
      <c r="A5" s="4" t="s">
        <v>373</v>
      </c>
      <c r="B5" s="4" t="s">
        <v>374</v>
      </c>
    </row>
    <row r="6" ht="16.35" spans="1:2">
      <c r="A6" s="3" t="s">
        <v>375</v>
      </c>
      <c r="B6" s="3" t="s">
        <v>376</v>
      </c>
    </row>
    <row r="7" ht="16.35" spans="1:2">
      <c r="A7" s="4" t="s">
        <v>377</v>
      </c>
      <c r="B7" s="4" t="s">
        <v>378</v>
      </c>
    </row>
    <row r="8" ht="16.35" spans="1:2">
      <c r="A8" s="4" t="s">
        <v>379</v>
      </c>
      <c r="B8" s="4" t="s">
        <v>380</v>
      </c>
    </row>
    <row r="9" ht="16.35" spans="1:2">
      <c r="A9" s="4" t="s">
        <v>381</v>
      </c>
      <c r="B9" s="4" t="s">
        <v>382</v>
      </c>
    </row>
    <row r="10" ht="16.35" spans="1:2">
      <c r="A10" s="4" t="s">
        <v>383</v>
      </c>
      <c r="B10" s="4" t="s">
        <v>384</v>
      </c>
    </row>
    <row r="11" ht="16.35" spans="1:2">
      <c r="A11" s="4" t="s">
        <v>385</v>
      </c>
      <c r="B11" s="4" t="s">
        <v>386</v>
      </c>
    </row>
    <row r="12" ht="16.35" spans="1:2">
      <c r="A12" s="4" t="s">
        <v>387</v>
      </c>
      <c r="B12" s="4" t="s">
        <v>388</v>
      </c>
    </row>
    <row r="13" ht="16.35" spans="1:2">
      <c r="A13" s="4" t="s">
        <v>389</v>
      </c>
      <c r="B13" s="4" t="s">
        <v>390</v>
      </c>
    </row>
    <row r="14" ht="16.35" spans="1:2">
      <c r="A14" s="4" t="s">
        <v>391</v>
      </c>
      <c r="B14" s="4" t="s">
        <v>392</v>
      </c>
    </row>
    <row r="15" ht="16.35" spans="1:2">
      <c r="A15" s="3" t="s">
        <v>393</v>
      </c>
      <c r="B15" s="3" t="s">
        <v>394</v>
      </c>
    </row>
    <row r="16" ht="16.35" spans="1:2">
      <c r="A16" s="4" t="s">
        <v>395</v>
      </c>
      <c r="B16" s="4" t="s">
        <v>19</v>
      </c>
    </row>
    <row r="17" ht="16.35" spans="1:2">
      <c r="A17" s="4" t="s">
        <v>396</v>
      </c>
      <c r="B17" s="4" t="s">
        <v>397</v>
      </c>
    </row>
    <row r="18" ht="16.35" spans="1:2">
      <c r="A18" s="3" t="s">
        <v>398</v>
      </c>
      <c r="B18" s="3" t="s">
        <v>399</v>
      </c>
    </row>
    <row r="19" ht="16.35" spans="1:2">
      <c r="A19" s="4" t="s">
        <v>400</v>
      </c>
      <c r="B19" s="4" t="s">
        <v>246</v>
      </c>
    </row>
    <row r="20" ht="16.35" spans="1:2">
      <c r="A20" s="4" t="s">
        <v>401</v>
      </c>
      <c r="B20" s="4" t="s">
        <v>402</v>
      </c>
    </row>
    <row r="21" ht="16.35" spans="1:2">
      <c r="A21" s="3" t="s">
        <v>403</v>
      </c>
      <c r="B21" s="3" t="s">
        <v>404</v>
      </c>
    </row>
    <row r="22" ht="16.35" spans="1:2">
      <c r="A22" s="4" t="s">
        <v>405</v>
      </c>
      <c r="B22" s="4" t="s">
        <v>10</v>
      </c>
    </row>
    <row r="23" ht="16.35" spans="1:2">
      <c r="A23" s="3" t="s">
        <v>406</v>
      </c>
      <c r="B23" s="3" t="s">
        <v>407</v>
      </c>
    </row>
    <row r="24" ht="16.35" spans="1:2">
      <c r="A24" s="4" t="s">
        <v>408</v>
      </c>
      <c r="B24" s="4" t="s">
        <v>409</v>
      </c>
    </row>
    <row r="25" ht="16.35" spans="1:2">
      <c r="A25" s="4" t="s">
        <v>410</v>
      </c>
      <c r="B25" s="4" t="s">
        <v>411</v>
      </c>
    </row>
    <row r="26" ht="16.35" spans="1:2">
      <c r="A26" s="3" t="s">
        <v>412</v>
      </c>
      <c r="B26" s="3" t="s">
        <v>413</v>
      </c>
    </row>
    <row r="27" ht="16.35" spans="1:2">
      <c r="A27" s="4" t="s">
        <v>414</v>
      </c>
      <c r="B27" s="4" t="s">
        <v>40</v>
      </c>
    </row>
    <row r="28" ht="16.35" spans="1:2">
      <c r="A28" s="3" t="s">
        <v>415</v>
      </c>
      <c r="B28" s="3" t="s">
        <v>416</v>
      </c>
    </row>
    <row r="29" ht="16.35" spans="1:2">
      <c r="A29" s="4" t="s">
        <v>417</v>
      </c>
      <c r="B29" s="4" t="s">
        <v>418</v>
      </c>
    </row>
    <row r="30" ht="16.35" spans="1:2">
      <c r="A30" s="4" t="s">
        <v>419</v>
      </c>
      <c r="B30" s="4" t="s">
        <v>420</v>
      </c>
    </row>
    <row r="31" ht="16.35" spans="1:2">
      <c r="A31" s="3" t="s">
        <v>421</v>
      </c>
      <c r="B31" s="3" t="s">
        <v>422</v>
      </c>
    </row>
    <row r="32" ht="16.35" spans="1:2">
      <c r="A32" s="4" t="s">
        <v>423</v>
      </c>
      <c r="B32" s="4" t="s">
        <v>424</v>
      </c>
    </row>
    <row r="33" ht="16.35" spans="1:2">
      <c r="A33" s="4" t="s">
        <v>425</v>
      </c>
      <c r="B33" s="4" t="s">
        <v>426</v>
      </c>
    </row>
    <row r="34" ht="16.35" spans="1:2">
      <c r="A34" s="3" t="s">
        <v>427</v>
      </c>
      <c r="B34" s="3" t="s">
        <v>428</v>
      </c>
    </row>
    <row r="35" ht="16.35" spans="1:2">
      <c r="A35" s="4" t="s">
        <v>429</v>
      </c>
      <c r="B35" s="4" t="s">
        <v>430</v>
      </c>
    </row>
    <row r="36" ht="16.35" spans="1:2">
      <c r="A36" s="4" t="s">
        <v>431</v>
      </c>
      <c r="B36" s="4" t="s">
        <v>432</v>
      </c>
    </row>
    <row r="37" ht="16.35" spans="1:2">
      <c r="A37" s="4" t="s">
        <v>433</v>
      </c>
      <c r="B37" s="4" t="s">
        <v>434</v>
      </c>
    </row>
    <row r="38" ht="16.35" spans="1:2">
      <c r="A38" s="4" t="s">
        <v>435</v>
      </c>
      <c r="B38" s="4" t="s">
        <v>436</v>
      </c>
    </row>
    <row r="39" ht="16.35" spans="1:2">
      <c r="A39" s="4" t="s">
        <v>437</v>
      </c>
      <c r="B39" s="4" t="s">
        <v>438</v>
      </c>
    </row>
    <row r="40" ht="16.35" spans="1:2">
      <c r="A40" s="3" t="s">
        <v>439</v>
      </c>
      <c r="B40" s="3" t="s">
        <v>440</v>
      </c>
    </row>
    <row r="41" ht="16.35" spans="1:2">
      <c r="A41" s="4" t="s">
        <v>441</v>
      </c>
      <c r="B41" s="4" t="s">
        <v>442</v>
      </c>
    </row>
    <row r="42" ht="16.35" spans="1:2">
      <c r="A42" s="4" t="s">
        <v>443</v>
      </c>
      <c r="B42" s="4" t="s">
        <v>444</v>
      </c>
    </row>
    <row r="43" ht="16.35" spans="1:2">
      <c r="A43" s="3" t="s">
        <v>445</v>
      </c>
      <c r="B43" s="3" t="s">
        <v>446</v>
      </c>
    </row>
    <row r="44" ht="16.35" spans="1:2">
      <c r="A44" s="4" t="s">
        <v>447</v>
      </c>
      <c r="B44" s="4" t="s">
        <v>448</v>
      </c>
    </row>
    <row r="45" ht="16.35" spans="1:2">
      <c r="A45" s="4" t="s">
        <v>449</v>
      </c>
      <c r="B45" s="4" t="s">
        <v>450</v>
      </c>
    </row>
    <row r="46" ht="16.35" spans="1:2">
      <c r="A46" s="4" t="s">
        <v>451</v>
      </c>
      <c r="B46" s="4" t="s">
        <v>452</v>
      </c>
    </row>
    <row r="47" ht="16.35" spans="1:2">
      <c r="A47" s="4" t="s">
        <v>453</v>
      </c>
      <c r="B47" s="4" t="s">
        <v>454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Артикулы</vt:lpstr>
      <vt:lpstr>Аббревиатуры товаров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2015-06-05T18:19:00Z</dcterms:created>
  <dcterms:modified xsi:type="dcterms:W3CDTF">2026-03-21T20:32:43Z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60C711BAD8CC443881668322E98CD16B_12</vt:lpwstr>
  </property>
  <property fmtid="{D5CDD505-2E9C-101B-9397-08002B2CF9AE}" pid="3" name="KSOProductBuildVer">
    <vt:lpwstr>1049-12.2.0.23196</vt:lpwstr>
  </property>
</Properties>
</file>